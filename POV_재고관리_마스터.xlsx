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읽는 법" sheetId="1" state="visible" r:id="rId3"/>
    <sheet name="대시보드" sheetId="2" state="visible" r:id="rId4"/>
    <sheet name="관리팀_전체재고" sheetId="3" state="visible" r:id="rId5"/>
    <sheet name="디자인팀_발주필요" sheetId="4" state="visible" r:id="rId6"/>
    <sheet name="악성재고" sheetId="5" state="visible" r:id="rId7"/>
    <sheet name="악성품절" sheetId="6" state="visible" r:id="rId8"/>
    <sheet name="알림설정" sheetId="7" state="visible" r:id="rId9"/>
    <sheet name="일별재고이력" sheetId="8" state="visible" r:id="rId10"/>
    <sheet name="품목마스터" sheetId="9" state="visible" r:id="rId11"/>
    <sheet name="RAW_재고현황" sheetId="10" state="visible" r:id="rId12"/>
    <sheet name="RAW_판매현황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<sst xmlns="http://schemas.openxmlformats.org/spreadsheetml/2006/main" count="2135" uniqueCount="364">
  <si>
    <t xml:space="preserve">처음 보시는 분은 이 탭부터 읽어 주세요</t>
  </si>
  <si>
    <r>
      <rPr>
        <b val="true"/>
        <sz val="10"/>
        <color rgb="FF333333"/>
        <rFont val="Noto Sans CJK SC"/>
        <family val="2"/>
      </rPr>
      <t xml:space="preserve">오프라인</t>
    </r>
    <r>
      <rPr>
        <b val="true"/>
        <sz val="10"/>
        <color rgb="FF333333"/>
        <rFont val="Noto Sans KR"/>
        <family val="0"/>
        <charset val="1"/>
      </rPr>
      <t xml:space="preserve">(</t>
    </r>
    <r>
      <rPr>
        <b val="true"/>
        <sz val="10"/>
        <color rgb="FF333333"/>
        <rFont val="Noto Sans CJK SC"/>
        <family val="2"/>
      </rPr>
      <t xml:space="preserve">이카운트</t>
    </r>
    <r>
      <rPr>
        <b val="true"/>
        <sz val="10"/>
        <color rgb="FF333333"/>
        <rFont val="Noto Sans KR"/>
        <family val="0"/>
        <charset val="1"/>
      </rPr>
      <t xml:space="preserve">) </t>
    </r>
    <r>
      <rPr>
        <b val="true"/>
        <sz val="10"/>
        <color rgb="FF333333"/>
        <rFont val="Noto Sans CJK SC"/>
        <family val="2"/>
      </rPr>
      <t xml:space="preserve">재고를 매일 자동으로 판정해 보여주는 시트입니다</t>
    </r>
  </si>
  <si>
    <r>
      <rPr>
        <sz val="9"/>
        <color rgb="FF333333"/>
        <rFont val="Noto Sans CJK SC"/>
        <family val="2"/>
      </rPr>
      <t xml:space="preserve">마지막 갱신</t>
    </r>
    <r>
      <rPr>
        <sz val="9"/>
        <color rgb="FF333333"/>
        <rFont val="Noto Sans KR"/>
        <family val="0"/>
        <charset val="1"/>
      </rPr>
      <t xml:space="preserve">: 2026-07-28 09:13</t>
    </r>
  </si>
  <si>
    <t xml:space="preserve">① 하루에 이렇게 씁니다</t>
  </si>
  <si>
    <r>
      <rPr>
        <b val="true"/>
        <sz val="10"/>
        <color rgb="FF333333"/>
        <rFont val="Noto Sans KR"/>
        <family val="0"/>
        <charset val="1"/>
      </rPr>
      <t xml:space="preserve">1. </t>
    </r>
    <r>
      <rPr>
        <b val="true"/>
        <sz val="10"/>
        <color rgb="FF333333"/>
        <rFont val="Noto Sans CJK SC"/>
        <family val="2"/>
      </rPr>
      <t xml:space="preserve">대시보드를 엽니다</t>
    </r>
  </si>
  <si>
    <t xml:space="preserve">오늘 처리할 목록이 급한 순서대로 블록에 나뉘어 있습니다</t>
  </si>
  <si>
    <r>
      <rPr>
        <b val="true"/>
        <sz val="10"/>
        <color rgb="FF333333"/>
        <rFont val="Noto Sans KR"/>
        <family val="0"/>
        <charset val="1"/>
      </rPr>
      <t xml:space="preserve">2. </t>
    </r>
    <r>
      <rPr>
        <b val="true"/>
        <sz val="10"/>
        <color rgb="FF333333"/>
        <rFont val="Noto Sans CJK SC"/>
        <family val="2"/>
      </rPr>
      <t xml:space="preserve">위 블록부터 처리합니다</t>
    </r>
  </si>
  <si>
    <r>
      <rPr>
        <sz val="10"/>
        <color rgb="FF333333"/>
        <rFont val="Noto Sans CJK SC"/>
        <family val="2"/>
      </rPr>
      <t xml:space="preserve">블록 제목 오른쪽에 </t>
    </r>
    <r>
      <rPr>
        <sz val="10"/>
        <color rgb="FF333333"/>
        <rFont val="Noto Sans KR"/>
        <family val="0"/>
        <charset val="1"/>
      </rPr>
      <t xml:space="preserve">'</t>
    </r>
    <r>
      <rPr>
        <sz val="10"/>
        <color rgb="FF333333"/>
        <rFont val="Noto Sans CJK SC"/>
        <family val="2"/>
      </rPr>
      <t xml:space="preserve">무엇을 하라</t>
    </r>
    <r>
      <rPr>
        <sz val="10"/>
        <color rgb="FF333333"/>
        <rFont val="Noto Sans KR"/>
        <family val="0"/>
        <charset val="1"/>
      </rPr>
      <t xml:space="preserve">'</t>
    </r>
    <r>
      <rPr>
        <sz val="10"/>
        <color rgb="FF333333"/>
        <rFont val="Noto Sans CJK SC"/>
        <family val="2"/>
      </rPr>
      <t xml:space="preserve">가 적혀 있습니다</t>
    </r>
  </si>
  <si>
    <r>
      <rPr>
        <b val="true"/>
        <sz val="10"/>
        <color rgb="FF333333"/>
        <rFont val="Noto Sans KR"/>
        <family val="0"/>
        <charset val="1"/>
      </rPr>
      <t xml:space="preserve">3. </t>
    </r>
    <r>
      <rPr>
        <b val="true"/>
        <sz val="10"/>
        <color rgb="FF333333"/>
        <rFont val="Noto Sans CJK SC"/>
        <family val="2"/>
      </rPr>
      <t xml:space="preserve">자세히 볼 땐 해당 탭으로</t>
    </r>
  </si>
  <si>
    <r>
      <rPr>
        <sz val="10"/>
        <color rgb="FF333333"/>
        <rFont val="Noto Sans CJK SC"/>
        <family val="2"/>
      </rPr>
      <t xml:space="preserve">블록 우측 </t>
    </r>
    <r>
      <rPr>
        <sz val="10"/>
        <color rgb="FF333333"/>
        <rFont val="Noto Sans KR"/>
        <family val="0"/>
        <charset val="1"/>
      </rPr>
      <t xml:space="preserve">'</t>
    </r>
    <r>
      <rPr>
        <sz val="10"/>
        <color rgb="FF333333"/>
        <rFont val="Noto Sans CJK SC"/>
        <family val="2"/>
      </rPr>
      <t xml:space="preserve">출처</t>
    </r>
    <r>
      <rPr>
        <sz val="10"/>
        <color rgb="FF333333"/>
        <rFont val="Noto Sans KR"/>
        <family val="0"/>
        <charset val="1"/>
      </rPr>
      <t xml:space="preserve">'</t>
    </r>
    <r>
      <rPr>
        <sz val="10"/>
        <color rgb="FF333333"/>
        <rFont val="Noto Sans CJK SC"/>
        <family val="2"/>
      </rPr>
      <t xml:space="preserve">에 어느 탭에서 왔는지 적혀 있습니다</t>
    </r>
  </si>
  <si>
    <t xml:space="preserve">② 어느 탭을 보면 되나</t>
  </si>
  <si>
    <t xml:space="preserve">탭</t>
  </si>
  <si>
    <t xml:space="preserve">누가</t>
  </si>
  <si>
    <t xml:space="preserve">언제</t>
  </si>
  <si>
    <t xml:space="preserve">수정</t>
  </si>
  <si>
    <t xml:space="preserve">무엇을 보나</t>
  </si>
  <si>
    <t xml:space="preserve">대시보드</t>
  </si>
  <si>
    <t xml:space="preserve">전원</t>
  </si>
  <si>
    <t xml:space="preserve">매일</t>
  </si>
  <si>
    <t xml:space="preserve">읽기만</t>
  </si>
  <si>
    <r>
      <rPr>
        <sz val="10"/>
        <color rgb="FF333333"/>
        <rFont val="Noto Sans CJK SC"/>
        <family val="2"/>
      </rPr>
      <t xml:space="preserve">오늘 처리할 것 전부 </t>
    </r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여기서 시작하세요</t>
    </r>
  </si>
  <si>
    <r>
      <rPr>
        <b val="true"/>
        <sz val="10"/>
        <color rgb="FF333333"/>
        <rFont val="Noto Sans CJK SC"/>
        <family val="2"/>
      </rPr>
      <t xml:space="preserve">관리팀</t>
    </r>
    <r>
      <rPr>
        <b val="true"/>
        <sz val="10"/>
        <color rgb="FF333333"/>
        <rFont val="Noto Sans KR"/>
        <family val="0"/>
        <charset val="1"/>
      </rPr>
      <t xml:space="preserve">_</t>
    </r>
    <r>
      <rPr>
        <b val="true"/>
        <sz val="10"/>
        <color rgb="FF333333"/>
        <rFont val="Noto Sans CJK SC"/>
        <family val="2"/>
      </rPr>
      <t xml:space="preserve">전체재고</t>
    </r>
  </si>
  <si>
    <t xml:space="preserve">관리팀</t>
  </si>
  <si>
    <t xml:space="preserve">메모만</t>
  </si>
  <si>
    <r>
      <rPr>
        <sz val="10"/>
        <color rgb="FF333333"/>
        <rFont val="Noto Sans CJK SC"/>
        <family val="2"/>
      </rPr>
      <t xml:space="preserve">창고별 재고 </t>
    </r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발주와 매장 간 이동 결정</t>
    </r>
  </si>
  <si>
    <r>
      <rPr>
        <b val="true"/>
        <sz val="10"/>
        <color rgb="FF333333"/>
        <rFont val="Noto Sans CJK SC"/>
        <family val="2"/>
      </rPr>
      <t xml:space="preserve">디자인팀</t>
    </r>
    <r>
      <rPr>
        <b val="true"/>
        <sz val="10"/>
        <color rgb="FF333333"/>
        <rFont val="Noto Sans KR"/>
        <family val="0"/>
        <charset val="1"/>
      </rPr>
      <t xml:space="preserve">_</t>
    </r>
    <r>
      <rPr>
        <b val="true"/>
        <sz val="10"/>
        <color rgb="FF333333"/>
        <rFont val="Noto Sans CJK SC"/>
        <family val="2"/>
      </rPr>
      <t xml:space="preserve">발주필요</t>
    </r>
  </si>
  <si>
    <t xml:space="preserve">디자인팀</t>
  </si>
  <si>
    <t xml:space="preserve">제작 발주가 필요한 품목만</t>
  </si>
  <si>
    <t xml:space="preserve">악성재고</t>
  </si>
  <si>
    <r>
      <rPr>
        <sz val="10"/>
        <color rgb="FF333333"/>
        <rFont val="Noto Sans CJK SC"/>
        <family val="2"/>
      </rPr>
      <t xml:space="preserve">주 </t>
    </r>
    <r>
      <rPr>
        <sz val="10"/>
        <color rgb="FF333333"/>
        <rFont val="Noto Sans KR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회</t>
    </r>
  </si>
  <si>
    <t xml:space="preserve">재고가 쌓여 돈이 묶인 품목</t>
  </si>
  <si>
    <t xml:space="preserve">악성품절</t>
  </si>
  <si>
    <r>
      <rPr>
        <sz val="10"/>
        <color rgb="FF333333"/>
        <rFont val="Noto Sans CJK SC"/>
        <family val="2"/>
      </rPr>
      <t xml:space="preserve">월 </t>
    </r>
    <r>
      <rPr>
        <sz val="10"/>
        <color rgb="FF333333"/>
        <rFont val="Noto Sans KR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회</t>
    </r>
  </si>
  <si>
    <t xml:space="preserve">되살릴지 접을지 결정할 품목</t>
  </si>
  <si>
    <t xml:space="preserve">알림설정</t>
  </si>
  <si>
    <t xml:space="preserve">담당자</t>
  </si>
  <si>
    <t xml:space="preserve">필요할 때</t>
  </si>
  <si>
    <t xml:space="preserve">직접 수정</t>
  </si>
  <si>
    <t xml:space="preserve">슬랙으로 받을 목록과 브랜드를 켜고 끔</t>
  </si>
  <si>
    <t xml:space="preserve">품목마스터</t>
  </si>
  <si>
    <t xml:space="preserve">신상품 등록 시</t>
  </si>
  <si>
    <t xml:space="preserve">품목 ↔ 브랜드 ↔ 조달유형 ↔ 리드타임</t>
  </si>
  <si>
    <t xml:space="preserve">일별재고이력</t>
  </si>
  <si>
    <t xml:space="preserve">—</t>
  </si>
  <si>
    <t xml:space="preserve">수정 금지</t>
  </si>
  <si>
    <t xml:space="preserve">모든 판정이 계산되는 곳</t>
  </si>
  <si>
    <r>
      <rPr>
        <b val="true"/>
        <sz val="10"/>
        <color rgb="FF999999"/>
        <rFont val="Noto Sans KR"/>
        <family val="0"/>
        <charset val="1"/>
      </rPr>
      <t xml:space="preserve">RAW_</t>
    </r>
    <r>
      <rPr>
        <b val="true"/>
        <sz val="10"/>
        <color rgb="FF999999"/>
        <rFont val="Noto Sans CJK SC"/>
        <family val="2"/>
      </rPr>
      <t xml:space="preserve">재고현황</t>
    </r>
  </si>
  <si>
    <t xml:space="preserve">이카운트 재고 원본</t>
  </si>
  <si>
    <r>
      <rPr>
        <b val="true"/>
        <sz val="10"/>
        <color rgb="FF999999"/>
        <rFont val="Noto Sans KR"/>
        <family val="0"/>
        <charset val="1"/>
      </rPr>
      <t xml:space="preserve">RAW_</t>
    </r>
    <r>
      <rPr>
        <b val="true"/>
        <sz val="10"/>
        <color rgb="FF999999"/>
        <rFont val="Noto Sans CJK SC"/>
        <family val="2"/>
      </rPr>
      <t xml:space="preserve">판매현황</t>
    </r>
  </si>
  <si>
    <t xml:space="preserve">이카운트 판매 원본</t>
  </si>
  <si>
    <t xml:space="preserve">③ 동그라미가 뜻하는 것</t>
  </si>
  <si>
    <t xml:space="preserve">신호</t>
  </si>
  <si>
    <t xml:space="preserve">뜻</t>
  </si>
  <si>
    <t xml:space="preserve">언제까지</t>
  </si>
  <si>
    <t xml:space="preserve">상태 이름</t>
  </si>
  <si>
    <r>
      <rPr>
        <b val="true"/>
        <sz val="10"/>
        <color rgb="FF222222"/>
        <rFont val="Noto Sans CJK SC"/>
        <family val="2"/>
      </rPr>
      <t xml:space="preserve">어떤 상태인가 </t>
    </r>
    <r>
      <rPr>
        <b val="true"/>
        <sz val="10"/>
        <color rgb="FF222222"/>
        <rFont val="Noto Sans KR"/>
        <family val="0"/>
        <charset val="1"/>
      </rPr>
      <t xml:space="preserve">· </t>
    </r>
    <r>
      <rPr>
        <b val="true"/>
        <sz val="10"/>
        <color rgb="FF222222"/>
        <rFont val="Noto Sans CJK SC"/>
        <family val="2"/>
      </rPr>
      <t xml:space="preserve">무엇을 하나</t>
    </r>
  </si>
  <si>
    <t xml:space="preserve">🔴</t>
  </si>
  <si>
    <t xml:space="preserve">지금</t>
  </si>
  <si>
    <t xml:space="preserve">오늘</t>
  </si>
  <si>
    <t xml:space="preserve">초과주문</t>
  </si>
  <si>
    <r>
      <rPr>
        <sz val="10"/>
        <color rgb="FF333333"/>
        <rFont val="Noto Sans CJK SC"/>
        <family val="2"/>
      </rPr>
      <t xml:space="preserve">재고가 음수 — 전산 오류일 가능성</t>
    </r>
    <r>
      <rPr>
        <sz val="10"/>
        <color rgb="FF333333"/>
        <rFont val="Noto Sans KR"/>
        <family val="0"/>
        <charset val="1"/>
      </rPr>
      <t xml:space="preserve">. </t>
    </r>
    <r>
      <rPr>
        <sz val="10"/>
        <color rgb="FF333333"/>
        <rFont val="Noto Sans CJK SC"/>
        <family val="2"/>
      </rPr>
      <t xml:space="preserve">이카운트 전표를 먼저 확인</t>
    </r>
  </si>
  <si>
    <t xml:space="preserve">위험</t>
  </si>
  <si>
    <t xml:space="preserve">지금 발주해도 도착 전에 재고가 바닥납니다</t>
  </si>
  <si>
    <r>
      <rPr>
        <b val="true"/>
        <sz val="10"/>
        <color rgb="FFCC0000"/>
        <rFont val="Noto Sans CJK SC"/>
        <family val="2"/>
      </rPr>
      <t xml:space="preserve">품절</t>
    </r>
    <r>
      <rPr>
        <b val="true"/>
        <sz val="10"/>
        <color rgb="FFCC0000"/>
        <rFont val="Noto Sans KR"/>
        <family val="0"/>
        <charset val="1"/>
      </rPr>
      <t xml:space="preserve">-</t>
    </r>
    <r>
      <rPr>
        <b val="true"/>
        <sz val="10"/>
        <color rgb="FFCC0000"/>
        <rFont val="Noto Sans CJK SC"/>
        <family val="2"/>
      </rPr>
      <t xml:space="preserve">신규</t>
    </r>
  </si>
  <si>
    <r>
      <rPr>
        <sz val="10"/>
        <color rgb="FF333333"/>
        <rFont val="Noto Sans CJK SC"/>
        <family val="2"/>
      </rPr>
      <t xml:space="preserve">품절된 지 </t>
    </r>
    <r>
      <rPr>
        <sz val="10"/>
        <color rgb="FF333333"/>
        <rFont val="Noto Sans KR"/>
        <family val="0"/>
        <charset val="1"/>
      </rPr>
      <t xml:space="preserve">9</t>
    </r>
    <r>
      <rPr>
        <sz val="10"/>
        <color rgb="FF333333"/>
        <rFont val="Noto Sans CJK SC"/>
        <family val="2"/>
      </rPr>
      <t xml:space="preserve">일 이내 — 지금 채우면 매출을 살릴 수 있습니다</t>
    </r>
  </si>
  <si>
    <t xml:space="preserve">🟠</t>
  </si>
  <si>
    <t xml:space="preserve">곧</t>
  </si>
  <si>
    <t xml:space="preserve">이번 주</t>
  </si>
  <si>
    <t xml:space="preserve">주의</t>
  </si>
  <si>
    <t xml:space="preserve">아직 여유는 있지만 이번 주 안에 발주를 걸어야 합니다</t>
  </si>
  <si>
    <r>
      <rPr>
        <b val="true"/>
        <sz val="10"/>
        <color rgb="FFB35C00"/>
        <rFont val="Noto Sans CJK SC"/>
        <family val="2"/>
      </rPr>
      <t xml:space="preserve">품절</t>
    </r>
    <r>
      <rPr>
        <b val="true"/>
        <sz val="10"/>
        <color rgb="FFB35C00"/>
        <rFont val="Noto Sans KR"/>
        <family val="0"/>
        <charset val="1"/>
      </rPr>
      <t xml:space="preserve">-</t>
    </r>
    <r>
      <rPr>
        <b val="true"/>
        <sz val="10"/>
        <color rgb="FFB35C00"/>
        <rFont val="Noto Sans CJK SC"/>
        <family val="2"/>
      </rPr>
      <t xml:space="preserve">지속</t>
    </r>
  </si>
  <si>
    <r>
      <rPr>
        <sz val="10"/>
        <color rgb="FF333333"/>
        <rFont val="Noto Sans CJK SC"/>
        <family val="2"/>
      </rPr>
      <t xml:space="preserve">품절 </t>
    </r>
    <r>
      <rPr>
        <sz val="10"/>
        <color rgb="FF333333"/>
        <rFont val="Noto Sans KR"/>
        <family val="0"/>
        <charset val="1"/>
      </rPr>
      <t xml:space="preserve">10~29</t>
    </r>
    <r>
      <rPr>
        <sz val="10"/>
        <color rgb="FF333333"/>
        <rFont val="Noto Sans CJK SC"/>
        <family val="2"/>
      </rPr>
      <t xml:space="preserve">일 — 재입고할지 이번 주에 결정</t>
    </r>
  </si>
  <si>
    <t xml:space="preserve">🟡</t>
  </si>
  <si>
    <t xml:space="preserve">확인</t>
  </si>
  <si>
    <t xml:space="preserve">여유 있을 때</t>
  </si>
  <si>
    <t xml:space="preserve">재고소량</t>
  </si>
  <si>
    <r>
      <rPr>
        <sz val="10"/>
        <color rgb="FF333333"/>
        <rFont val="Noto Sans CJK SC"/>
        <family val="2"/>
      </rPr>
      <t xml:space="preserve">재고는 몇 개 남았는데 </t>
    </r>
    <r>
      <rPr>
        <sz val="10"/>
        <color rgb="FF333333"/>
        <rFont val="Noto Sans KR"/>
        <family val="0"/>
        <charset val="1"/>
      </rPr>
      <t xml:space="preserve">7</t>
    </r>
    <r>
      <rPr>
        <sz val="10"/>
        <color rgb="FF333333"/>
        <rFont val="Noto Sans CJK SC"/>
        <family val="2"/>
      </rPr>
      <t xml:space="preserve">일간 판매 </t>
    </r>
    <r>
      <rPr>
        <sz val="10"/>
        <color rgb="FF333333"/>
        <rFont val="Noto Sans KR"/>
        <family val="0"/>
        <charset val="1"/>
      </rPr>
      <t xml:space="preserve">0 — </t>
    </r>
    <r>
      <rPr>
        <sz val="10"/>
        <color rgb="FF333333"/>
        <rFont val="Noto Sans CJK SC"/>
        <family val="2"/>
      </rPr>
      <t xml:space="preserve">노출이 막힌 건지 확인</t>
    </r>
  </si>
  <si>
    <t xml:space="preserve">🔵</t>
  </si>
  <si>
    <t xml:space="preserve">과잉</t>
  </si>
  <si>
    <r>
      <rPr>
        <sz val="10"/>
        <color rgb="FF333333"/>
        <rFont val="Noto Sans KR"/>
        <family val="0"/>
        <charset val="1"/>
      </rPr>
      <t xml:space="preserve">180</t>
    </r>
    <r>
      <rPr>
        <sz val="10"/>
        <color rgb="FF333333"/>
        <rFont val="Noto Sans CJK SC"/>
        <family val="2"/>
      </rPr>
      <t xml:space="preserve">일치 넘게 쌓임 — 돈이 묶여 있음</t>
    </r>
    <r>
      <rPr>
        <sz val="10"/>
        <color rgb="FF333333"/>
        <rFont val="Noto Sans KR"/>
        <family val="0"/>
        <charset val="1"/>
      </rPr>
      <t xml:space="preserve">. </t>
    </r>
    <r>
      <rPr>
        <sz val="10"/>
        <color rgb="FF333333"/>
        <rFont val="Noto Sans CJK SC"/>
        <family val="2"/>
      </rPr>
      <t xml:space="preserve">프로모션</t>
    </r>
    <r>
      <rPr>
        <sz val="10"/>
        <color rgb="FF333333"/>
        <rFont val="Noto Sans KR"/>
        <family val="0"/>
        <charset val="1"/>
      </rPr>
      <t xml:space="preserve">·</t>
    </r>
    <r>
      <rPr>
        <sz val="10"/>
        <color rgb="FF333333"/>
        <rFont val="Noto Sans CJK SC"/>
        <family val="2"/>
      </rPr>
      <t xml:space="preserve">번들 검토</t>
    </r>
  </si>
  <si>
    <t xml:space="preserve">⚫️</t>
  </si>
  <si>
    <t xml:space="preserve">끝</t>
  </si>
  <si>
    <r>
      <rPr>
        <b val="true"/>
        <sz val="10"/>
        <color rgb="FF999999"/>
        <rFont val="Noto Sans CJK SC"/>
        <family val="2"/>
      </rPr>
      <t xml:space="preserve">품절</t>
    </r>
    <r>
      <rPr>
        <b val="true"/>
        <sz val="10"/>
        <color rgb="FF999999"/>
        <rFont val="Noto Sans KR"/>
        <family val="0"/>
        <charset val="1"/>
      </rPr>
      <t xml:space="preserve">-</t>
    </r>
    <r>
      <rPr>
        <b val="true"/>
        <sz val="10"/>
        <color rgb="FF999999"/>
        <rFont val="Noto Sans CJK SC"/>
        <family val="2"/>
      </rPr>
      <t xml:space="preserve">장기</t>
    </r>
  </si>
  <si>
    <r>
      <rPr>
        <sz val="10"/>
        <color rgb="FF333333"/>
        <rFont val="Noto Sans CJK SC"/>
        <family val="2"/>
      </rPr>
      <t xml:space="preserve">품절 </t>
    </r>
    <r>
      <rPr>
        <sz val="10"/>
        <color rgb="FF333333"/>
        <rFont val="Noto Sans KR"/>
        <family val="0"/>
        <charset val="1"/>
      </rPr>
      <t xml:space="preserve">30</t>
    </r>
    <r>
      <rPr>
        <sz val="10"/>
        <color rgb="FF333333"/>
        <rFont val="Noto Sans CJK SC"/>
        <family val="2"/>
      </rPr>
      <t xml:space="preserve">일 이상 — 재발주할지 단종할지 결정</t>
    </r>
  </si>
  <si>
    <t xml:space="preserve">🟢</t>
  </si>
  <si>
    <t xml:space="preserve">정상</t>
  </si>
  <si>
    <t xml:space="preserve">지금 할 일이 없습니다</t>
  </si>
  <si>
    <t xml:space="preserve">④ 표에 나오는 말</t>
  </si>
  <si>
    <t xml:space="preserve">용어</t>
  </si>
  <si>
    <r>
      <rPr>
        <b val="true"/>
        <sz val="10"/>
        <color rgb="FF333333"/>
        <rFont val="Noto Sans KR"/>
        <family val="0"/>
        <charset val="1"/>
      </rPr>
      <t xml:space="preserve">DOI(</t>
    </r>
    <r>
      <rPr>
        <b val="true"/>
        <sz val="10"/>
        <color rgb="FF333333"/>
        <rFont val="Noto Sans CJK SC"/>
        <family val="2"/>
      </rPr>
      <t xml:space="preserve">소진일</t>
    </r>
    <r>
      <rPr>
        <b val="true"/>
        <sz val="10"/>
        <color rgb="FF333333"/>
        <rFont val="Noto Sans KR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</si>
  <si>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지금 재고가 며칠 뒤에 바닥나는지</t>
    </r>
    <r>
      <rPr>
        <sz val="10"/>
        <color rgb="FF333333"/>
        <rFont val="Noto Sans KR"/>
        <family val="0"/>
        <charset val="1"/>
      </rPr>
      <t xml:space="preserve">. </t>
    </r>
    <r>
      <rPr>
        <sz val="10"/>
        <color rgb="FF333333"/>
        <rFont val="Noto Sans CJK SC"/>
        <family val="2"/>
      </rPr>
      <t xml:space="preserve">재고 </t>
    </r>
    <r>
      <rPr>
        <sz val="10"/>
        <color rgb="FF333333"/>
        <rFont val="Noto Sans KR"/>
        <family val="0"/>
        <charset val="1"/>
      </rPr>
      <t xml:space="preserve">÷ </t>
    </r>
    <r>
      <rPr>
        <sz val="10"/>
        <color rgb="FF333333"/>
        <rFont val="Noto Sans CJK SC"/>
        <family val="2"/>
      </rPr>
      <t xml:space="preserve">최근 </t>
    </r>
    <r>
      <rPr>
        <sz val="10"/>
        <color rgb="FF333333"/>
        <rFont val="Noto Sans KR"/>
        <family val="0"/>
        <charset val="1"/>
      </rPr>
      <t xml:space="preserve">7</t>
    </r>
    <r>
      <rPr>
        <sz val="10"/>
        <color rgb="FF333333"/>
        <rFont val="Noto Sans CJK SC"/>
        <family val="2"/>
      </rPr>
      <t xml:space="preserve">일 하루평균 판매량</t>
    </r>
    <r>
      <rPr>
        <sz val="10"/>
        <color rgb="FF333333"/>
        <rFont val="Noto Sans KR"/>
        <family val="0"/>
        <charset val="1"/>
      </rPr>
      <t xml:space="preserve">. </t>
    </r>
    <r>
      <rPr>
        <sz val="10"/>
        <color rgb="FF333333"/>
        <rFont val="Noto Sans CJK SC"/>
        <family val="2"/>
      </rPr>
      <t xml:space="preserve">재고 </t>
    </r>
    <r>
      <rPr>
        <sz val="10"/>
        <color rgb="FF333333"/>
        <rFont val="Noto Sans KR"/>
        <family val="0"/>
        <charset val="1"/>
      </rPr>
      <t xml:space="preserve">62</t>
    </r>
    <r>
      <rPr>
        <sz val="10"/>
        <color rgb="FF333333"/>
        <rFont val="Noto Sans CJK SC"/>
        <family val="2"/>
      </rPr>
      <t xml:space="preserve">개를 하루 </t>
    </r>
    <r>
      <rPr>
        <sz val="10"/>
        <color rgb="FF333333"/>
        <rFont val="Noto Sans KR"/>
        <family val="0"/>
        <charset val="1"/>
      </rPr>
      <t xml:space="preserve">2</t>
    </r>
    <r>
      <rPr>
        <sz val="10"/>
        <color rgb="FF333333"/>
        <rFont val="Noto Sans CJK SC"/>
        <family val="2"/>
      </rPr>
      <t xml:space="preserve">개씩 팔면 </t>
    </r>
    <r>
      <rPr>
        <sz val="10"/>
        <color rgb="FF333333"/>
        <rFont val="Noto Sans KR"/>
        <family val="0"/>
        <charset val="1"/>
      </rPr>
      <t xml:space="preserve">31</t>
    </r>
    <r>
      <rPr>
        <sz val="10"/>
        <color rgb="FF333333"/>
        <rFont val="Noto Sans CJK SC"/>
        <family val="2"/>
      </rPr>
      <t xml:space="preserve">일</t>
    </r>
  </si>
  <si>
    <r>
      <rPr>
        <b val="true"/>
        <sz val="10"/>
        <color rgb="FF333333"/>
        <rFont val="Noto Sans CJK SC"/>
        <family val="2"/>
      </rPr>
      <t xml:space="preserve">리드타임</t>
    </r>
    <r>
      <rPr>
        <b val="true"/>
        <sz val="10"/>
        <color rgb="FF333333"/>
        <rFont val="Noto Sans KR"/>
        <family val="0"/>
        <charset val="1"/>
      </rPr>
      <t xml:space="preserve">(</t>
    </r>
    <r>
      <rPr>
        <b val="true"/>
        <sz val="10"/>
        <color rgb="FF333333"/>
        <rFont val="Noto Sans CJK SC"/>
        <family val="2"/>
      </rPr>
      <t xml:space="preserve">일</t>
    </r>
    <r>
      <rPr>
        <b val="true"/>
        <sz val="10"/>
        <color rgb="FF333333"/>
        <rFont val="Noto Sans KR"/>
        <family val="0"/>
        <charset val="1"/>
      </rPr>
      <t xml:space="preserve">)</t>
    </r>
  </si>
  <si>
    <t xml:space="preserve">발주해서 물건이 실제로 들어오기까지 걸리는 날짜</t>
  </si>
  <si>
    <t xml:space="preserve">조달유형</t>
  </si>
  <si>
    <r>
      <rPr>
        <sz val="10"/>
        <color rgb="FF333333"/>
        <rFont val="Noto Sans CJK SC"/>
        <family val="2"/>
      </rPr>
      <t xml:space="preserve">자체제작 </t>
    </r>
    <r>
      <rPr>
        <sz val="10"/>
        <color rgb="FF333333"/>
        <rFont val="Noto Sans KR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국내사입 </t>
    </r>
    <r>
      <rPr>
        <sz val="10"/>
        <color rgb="FF333333"/>
        <rFont val="Noto Sans KR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해외수입</t>
    </r>
    <r>
      <rPr>
        <sz val="10"/>
        <color rgb="FF333333"/>
        <rFont val="Noto Sans KR"/>
        <family val="0"/>
        <charset val="1"/>
      </rPr>
      <t xml:space="preserve">. </t>
    </r>
    <r>
      <rPr>
        <sz val="10"/>
        <color rgb="FF333333"/>
        <rFont val="Noto Sans CJK SC"/>
        <family val="2"/>
      </rPr>
      <t xml:space="preserve">리드타임이 달라서 위험 판정 기준도 다릅니다</t>
    </r>
  </si>
  <si>
    <t xml:space="preserve">총재고</t>
  </si>
  <si>
    <r>
      <rPr>
        <sz val="10"/>
        <color rgb="FF333333"/>
        <rFont val="Noto Sans CJK SC"/>
        <family val="2"/>
      </rPr>
      <t xml:space="preserve">창고 </t>
    </r>
    <r>
      <rPr>
        <sz val="10"/>
        <color rgb="FF333333"/>
        <rFont val="Noto Sans KR"/>
        <family val="0"/>
        <charset val="1"/>
      </rPr>
      <t xml:space="preserve">4</t>
    </r>
    <r>
      <rPr>
        <sz val="10"/>
        <color rgb="FF333333"/>
        <rFont val="Noto Sans CJK SC"/>
        <family val="2"/>
      </rPr>
      <t xml:space="preserve">곳의 재고를 더한 값</t>
    </r>
    <r>
      <rPr>
        <sz val="10"/>
        <color rgb="FF333333"/>
        <rFont val="Noto Sans KR"/>
        <family val="0"/>
        <charset val="1"/>
      </rPr>
      <t xml:space="preserve">. </t>
    </r>
    <r>
      <rPr>
        <sz val="10"/>
        <color rgb="FF333333"/>
        <rFont val="Noto Sans CJK SC"/>
        <family val="2"/>
      </rPr>
      <t xml:space="preserve">한 곳이 </t>
    </r>
    <r>
      <rPr>
        <sz val="10"/>
        <color rgb="FF333333"/>
        <rFont val="Noto Sans KR"/>
        <family val="0"/>
        <charset val="1"/>
      </rPr>
      <t xml:space="preserve">0</t>
    </r>
    <r>
      <rPr>
        <sz val="10"/>
        <color rgb="FF333333"/>
        <rFont val="Noto Sans CJK SC"/>
        <family val="2"/>
      </rPr>
      <t xml:space="preserve">이어도 다른 곳에 남아 있을 수 있습니다</t>
    </r>
  </si>
  <si>
    <r>
      <rPr>
        <b val="true"/>
        <sz val="10"/>
        <color rgb="FF333333"/>
        <rFont val="Noto Sans KR"/>
        <family val="0"/>
        <charset val="1"/>
      </rPr>
      <t xml:space="preserve">7</t>
    </r>
    <r>
      <rPr>
        <b val="true"/>
        <sz val="10"/>
        <color rgb="FF333333"/>
        <rFont val="Noto Sans CJK SC"/>
        <family val="2"/>
      </rPr>
      <t xml:space="preserve">일 판매 </t>
    </r>
    <r>
      <rPr>
        <b val="true"/>
        <sz val="10"/>
        <color rgb="FF333333"/>
        <rFont val="Noto Sans KR"/>
        <family val="0"/>
        <charset val="1"/>
      </rPr>
      <t xml:space="preserve">/ 90</t>
    </r>
    <r>
      <rPr>
        <b val="true"/>
        <sz val="10"/>
        <color rgb="FF333333"/>
        <rFont val="Noto Sans CJK SC"/>
        <family val="2"/>
      </rPr>
      <t xml:space="preserve">일 판매</t>
    </r>
  </si>
  <si>
    <r>
      <rPr>
        <sz val="10"/>
        <color rgb="FF333333"/>
        <rFont val="Noto Sans CJK SC"/>
        <family val="2"/>
      </rPr>
      <t xml:space="preserve">최근 </t>
    </r>
    <r>
      <rPr>
        <sz val="10"/>
        <color rgb="FF333333"/>
        <rFont val="Noto Sans KR"/>
        <family val="0"/>
        <charset val="1"/>
      </rPr>
      <t xml:space="preserve">7</t>
    </r>
    <r>
      <rPr>
        <sz val="10"/>
        <color rgb="FF333333"/>
        <rFont val="Noto Sans CJK SC"/>
        <family val="2"/>
      </rPr>
      <t xml:space="preserve">일 </t>
    </r>
    <r>
      <rPr>
        <sz val="10"/>
        <color rgb="FF333333"/>
        <rFont val="Noto Sans KR"/>
        <family val="0"/>
        <charset val="1"/>
      </rPr>
      <t xml:space="preserve">· 90</t>
    </r>
    <r>
      <rPr>
        <sz val="10"/>
        <color rgb="FF333333"/>
        <rFont val="Noto Sans CJK SC"/>
        <family val="2"/>
      </rPr>
      <t xml:space="preserve">일 동안 팔린 수량</t>
    </r>
    <r>
      <rPr>
        <sz val="10"/>
        <color rgb="FF333333"/>
        <rFont val="Noto Sans KR"/>
        <family val="0"/>
        <charset val="1"/>
      </rPr>
      <t xml:space="preserve">. 7</t>
    </r>
    <r>
      <rPr>
        <sz val="10"/>
        <color rgb="FF333333"/>
        <rFont val="Noto Sans CJK SC"/>
        <family val="2"/>
      </rPr>
      <t xml:space="preserve">일은 지금 속도</t>
    </r>
    <r>
      <rPr>
        <sz val="10"/>
        <color rgb="FF333333"/>
        <rFont val="Noto Sans KR"/>
        <family val="0"/>
        <charset val="1"/>
      </rPr>
      <t xml:space="preserve">, 90</t>
    </r>
    <r>
      <rPr>
        <sz val="10"/>
        <color rgb="FF333333"/>
        <rFont val="Noto Sans CJK SC"/>
        <family val="2"/>
      </rPr>
      <t xml:space="preserve">일은 원래 속도</t>
    </r>
  </si>
  <si>
    <t xml:space="preserve">재고금액</t>
  </si>
  <si>
    <r>
      <rPr>
        <sz val="10"/>
        <color rgb="FF333333"/>
        <rFont val="Noto Sans CJK SC"/>
        <family val="2"/>
      </rPr>
      <t xml:space="preserve">남은 재고 </t>
    </r>
    <r>
      <rPr>
        <sz val="10"/>
        <color rgb="FF333333"/>
        <rFont val="Noto Sans KR"/>
        <family val="0"/>
        <charset val="1"/>
      </rPr>
      <t xml:space="preserve">× </t>
    </r>
    <r>
      <rPr>
        <sz val="10"/>
        <color rgb="FF333333"/>
        <rFont val="Noto Sans CJK SC"/>
        <family val="2"/>
      </rPr>
      <t xml:space="preserve">입고단가</t>
    </r>
    <r>
      <rPr>
        <sz val="10"/>
        <color rgb="FF333333"/>
        <rFont val="Noto Sans KR"/>
        <family val="0"/>
        <charset val="1"/>
      </rPr>
      <t xml:space="preserve">. </t>
    </r>
    <r>
      <rPr>
        <sz val="10"/>
        <color rgb="FF333333"/>
        <rFont val="Noto Sans CJK SC"/>
        <family val="2"/>
      </rPr>
      <t xml:space="preserve">이 품목에 묶여 있는 돈</t>
    </r>
  </si>
  <si>
    <r>
      <rPr>
        <b val="true"/>
        <sz val="10"/>
        <color rgb="FF333333"/>
        <rFont val="Noto Sans CJK SC"/>
        <family val="2"/>
      </rPr>
      <t xml:space="preserve">품절</t>
    </r>
    <r>
      <rPr>
        <b val="true"/>
        <sz val="10"/>
        <color rgb="FF333333"/>
        <rFont val="Noto Sans KR"/>
        <family val="0"/>
        <charset val="1"/>
      </rPr>
      <t xml:space="preserve">(</t>
    </r>
    <r>
      <rPr>
        <b val="true"/>
        <sz val="10"/>
        <color rgb="FF333333"/>
        <rFont val="Noto Sans CJK SC"/>
        <family val="2"/>
      </rPr>
      <t xml:space="preserve">일</t>
    </r>
    <r>
      <rPr>
        <b val="true"/>
        <sz val="10"/>
        <color rgb="FF333333"/>
        <rFont val="Noto Sans KR"/>
        <family val="0"/>
        <charset val="1"/>
      </rPr>
      <t xml:space="preserve">) / </t>
    </r>
    <r>
      <rPr>
        <b val="true"/>
        <sz val="10"/>
        <color rgb="FF333333"/>
        <rFont val="Noto Sans CJK SC"/>
        <family val="2"/>
      </rPr>
      <t xml:space="preserve">미판매</t>
    </r>
    <r>
      <rPr>
        <b val="true"/>
        <sz val="10"/>
        <color rgb="FF333333"/>
        <rFont val="Noto Sans KR"/>
        <family val="0"/>
        <charset val="1"/>
      </rPr>
      <t xml:space="preserve">(</t>
    </r>
    <r>
      <rPr>
        <b val="true"/>
        <sz val="10"/>
        <color rgb="FF333333"/>
        <rFont val="Noto Sans CJK SC"/>
        <family val="2"/>
      </rPr>
      <t xml:space="preserve">일</t>
    </r>
    <r>
      <rPr>
        <b val="true"/>
        <sz val="10"/>
        <color rgb="FF333333"/>
        <rFont val="Noto Sans KR"/>
        <family val="0"/>
        <charset val="1"/>
      </rPr>
      <t xml:space="preserve">)</t>
    </r>
  </si>
  <si>
    <r>
      <rPr>
        <sz val="10"/>
        <color rgb="FF333333"/>
        <rFont val="Noto Sans CJK SC"/>
        <family val="2"/>
      </rPr>
      <t xml:space="preserve">품절된 지 며칠 </t>
    </r>
    <r>
      <rPr>
        <sz val="10"/>
        <color rgb="FF333333"/>
        <rFont val="Noto Sans KR"/>
        <family val="0"/>
        <charset val="1"/>
      </rPr>
      <t xml:space="preserve">/ </t>
    </r>
    <r>
      <rPr>
        <sz val="10"/>
        <color rgb="FF333333"/>
        <rFont val="Noto Sans CJK SC"/>
        <family val="2"/>
      </rPr>
      <t xml:space="preserve">마지막으로 팔린 지 며칠</t>
    </r>
  </si>
  <si>
    <t xml:space="preserve">우선순위</t>
  </si>
  <si>
    <r>
      <rPr>
        <sz val="10"/>
        <color rgb="FF333333"/>
        <rFont val="Noto Sans KR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이 가장 급합니다</t>
    </r>
    <r>
      <rPr>
        <sz val="10"/>
        <color rgb="FF333333"/>
        <rFont val="Noto Sans KR"/>
        <family val="0"/>
        <charset val="1"/>
      </rPr>
      <t xml:space="preserve">. </t>
    </r>
    <r>
      <rPr>
        <sz val="10"/>
        <color rgb="FF333333"/>
        <rFont val="Noto Sans CJK SC"/>
        <family val="2"/>
      </rPr>
      <t xml:space="preserve">같은 상태 안에서 처리 순서를 정할 때 씁니다</t>
    </r>
  </si>
  <si>
    <t xml:space="preserve">⑤ 지켜 주세요</t>
  </si>
  <si>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회색으로 표시된 탭</t>
    </r>
    <r>
      <rPr>
        <sz val="10"/>
        <color rgb="FF333333"/>
        <rFont val="Noto Sans KR"/>
        <family val="0"/>
        <charset val="1"/>
      </rPr>
      <t xml:space="preserve">(</t>
    </r>
    <r>
      <rPr>
        <sz val="10"/>
        <color rgb="FF333333"/>
        <rFont val="Noto Sans CJK SC"/>
        <family val="2"/>
      </rPr>
      <t xml:space="preserve">일별재고이력 </t>
    </r>
    <r>
      <rPr>
        <sz val="10"/>
        <color rgb="FF333333"/>
        <rFont val="Noto Sans KR"/>
        <family val="0"/>
        <charset val="1"/>
      </rPr>
      <t xml:space="preserve">· RAW 2</t>
    </r>
    <r>
      <rPr>
        <sz val="10"/>
        <color rgb="FF333333"/>
        <rFont val="Noto Sans CJK SC"/>
        <family val="2"/>
      </rPr>
      <t xml:space="preserve">개</t>
    </r>
    <r>
      <rPr>
        <sz val="10"/>
        <color rgb="FF333333"/>
        <rFont val="Noto Sans KR"/>
        <family val="0"/>
        <charset val="1"/>
      </rPr>
      <t xml:space="preserve">)</t>
    </r>
    <r>
      <rPr>
        <sz val="10"/>
        <color rgb="FF333333"/>
        <rFont val="Noto Sans CJK SC"/>
        <family val="2"/>
      </rPr>
      <t xml:space="preserve">은 스크립트가 매일 다시 씁니다</t>
    </r>
    <r>
      <rPr>
        <sz val="10"/>
        <color rgb="FF333333"/>
        <rFont val="Noto Sans KR"/>
        <family val="0"/>
        <charset val="1"/>
      </rPr>
      <t xml:space="preserve">. </t>
    </r>
    <r>
      <rPr>
        <sz val="10"/>
        <color rgb="FF333333"/>
        <rFont val="Noto Sans CJK SC"/>
        <family val="2"/>
      </rPr>
      <t xml:space="preserve">직접 고쳐도 다음날 사라집니다</t>
    </r>
    <r>
      <rPr>
        <sz val="10"/>
        <color rgb="FF333333"/>
        <rFont val="Noto Sans KR"/>
        <family val="0"/>
        <charset val="1"/>
      </rPr>
      <t xml:space="preserve">.</t>
    </r>
  </si>
  <si>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나머지 탭에서도 값은 자동으로 채워집니다</t>
    </r>
    <r>
      <rPr>
        <sz val="10"/>
        <color rgb="FF333333"/>
        <rFont val="Noto Sans KR"/>
        <family val="0"/>
        <charset val="1"/>
      </rPr>
      <t xml:space="preserve">. </t>
    </r>
    <r>
      <rPr>
        <sz val="10"/>
        <color rgb="FF333333"/>
        <rFont val="Noto Sans CJK SC"/>
        <family val="2"/>
      </rPr>
      <t xml:space="preserve">사람이 적는 곳은 메모 컬럼뿐입니다</t>
    </r>
    <r>
      <rPr>
        <sz val="10"/>
        <color rgb="FF333333"/>
        <rFont val="Noto Sans KR"/>
        <family val="0"/>
        <charset val="1"/>
      </rPr>
      <t xml:space="preserve">.</t>
    </r>
  </si>
  <si>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품목마스터와 알림설정은 반대로 사람이 쓰는 탭입니다</t>
    </r>
    <r>
      <rPr>
        <sz val="10"/>
        <color rgb="FF333333"/>
        <rFont val="Noto Sans KR"/>
        <family val="0"/>
        <charset val="1"/>
      </rPr>
      <t xml:space="preserve">. </t>
    </r>
    <r>
      <rPr>
        <sz val="10"/>
        <color rgb="FF333333"/>
        <rFont val="Noto Sans CJK SC"/>
        <family val="2"/>
      </rPr>
      <t xml:space="preserve">여기 적은 내용은 지워지지 않습니다</t>
    </r>
    <r>
      <rPr>
        <sz val="10"/>
        <color rgb="FF333333"/>
        <rFont val="Noto Sans KR"/>
        <family val="0"/>
        <charset val="1"/>
      </rPr>
      <t xml:space="preserve">.</t>
    </r>
  </si>
  <si>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숫자가 이상해 보이면 고치지 마시고 </t>
    </r>
    <r>
      <rPr>
        <sz val="10"/>
        <color rgb="FF333333"/>
        <rFont val="Noto Sans KR"/>
        <family val="0"/>
        <charset val="1"/>
      </rPr>
      <t xml:space="preserve">RAW </t>
    </r>
    <r>
      <rPr>
        <sz val="10"/>
        <color rgb="FF333333"/>
        <rFont val="Noto Sans CJK SC"/>
        <family val="2"/>
      </rPr>
      <t xml:space="preserve">탭의 마지막 갱신 시각부터 확인해 주세요</t>
    </r>
    <r>
      <rPr>
        <sz val="10"/>
        <color rgb="FF333333"/>
        <rFont val="Noto Sans KR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</si>
  <si>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오늘 처리할 것을 위에서부터 순서대로 </t>
    </r>
    <r>
      <rPr>
        <b val="true"/>
        <sz val="10"/>
        <color rgb="FFFFFFFF"/>
        <rFont val="Noto Sans KR"/>
        <family val="0"/>
        <charset val="1"/>
      </rPr>
      <t xml:space="preserve">· RAW </t>
    </r>
    <r>
      <rPr>
        <b val="true"/>
        <sz val="10"/>
        <color rgb="FFFFFFFF"/>
        <rFont val="Noto Sans CJK SC"/>
        <family val="2"/>
      </rPr>
      <t xml:space="preserve">갱신 후 </t>
    </r>
    <r>
      <rPr>
        <b val="true"/>
        <sz val="10"/>
        <color rgb="FFFFFFFF"/>
        <rFont val="Noto Sans KR"/>
        <family val="0"/>
        <charset val="1"/>
      </rPr>
      <t xml:space="preserve">[</t>
    </r>
    <r>
      <rPr>
        <b val="true"/>
        <sz val="10"/>
        <color rgb="FFFFFFFF"/>
        <rFont val="Noto Sans CJK SC"/>
        <family val="2"/>
      </rPr>
      <t xml:space="preserve">재고 갱신</t>
    </r>
    <r>
      <rPr>
        <b val="true"/>
        <sz val="10"/>
        <color rgb="FFFFFFFF"/>
        <rFont val="Noto Sans KR"/>
        <family val="0"/>
        <charset val="1"/>
      </rPr>
      <t xml:space="preserve">] </t>
    </r>
    <r>
      <rPr>
        <b val="true"/>
        <sz val="10"/>
        <color rgb="FFFFFFFF"/>
        <rFont val="Noto Sans CJK SC"/>
        <family val="2"/>
      </rPr>
      <t xml:space="preserve">버튼을 눌러 주세요</t>
    </r>
  </si>
  <si>
    <r>
      <rPr>
        <b val="true"/>
        <sz val="10"/>
        <color rgb="FF333333"/>
        <rFont val="Noto Sans CJK SC"/>
        <family val="2"/>
      </rPr>
      <t xml:space="preserve">결과물 탭 </t>
    </r>
    <r>
      <rPr>
        <b val="true"/>
        <sz val="10"/>
        <color rgb="FF333333"/>
        <rFont val="Noto Sans KR"/>
        <family val="0"/>
        <charset val="1"/>
      </rPr>
      <t xml:space="preserve">4</t>
    </r>
    <r>
      <rPr>
        <b val="true"/>
        <sz val="10"/>
        <color rgb="FF333333"/>
        <rFont val="Noto Sans CJK SC"/>
        <family val="2"/>
      </rPr>
      <t xml:space="preserve">개에서 자동 집계 </t>
    </r>
    <r>
      <rPr>
        <b val="true"/>
        <sz val="10"/>
        <color rgb="FF333333"/>
        <rFont val="Noto Sans KR"/>
        <family val="0"/>
        <charset val="1"/>
      </rPr>
      <t xml:space="preserve">· </t>
    </r>
    <r>
      <rPr>
        <b val="true"/>
        <sz val="10"/>
        <color rgb="FF333333"/>
        <rFont val="Noto Sans CJK SC"/>
        <family val="2"/>
      </rPr>
      <t xml:space="preserve">블록별 판정 조건과 정렬 근거는 섹션 우측 표기</t>
    </r>
  </si>
  <si>
    <r>
      <rPr>
        <b val="true"/>
        <sz val="10"/>
        <color rgb="FFCC0000"/>
        <rFont val="Noto Sans CJK SC"/>
        <family val="2"/>
      </rPr>
      <t xml:space="preserve">오늘 조치 필요 — 상위 </t>
    </r>
    <r>
      <rPr>
        <b val="true"/>
        <sz val="10"/>
        <color rgb="FFCC0000"/>
        <rFont val="Noto Sans KR"/>
        <family val="0"/>
        <charset val="1"/>
      </rPr>
      <t xml:space="preserve">20 / </t>
    </r>
    <r>
      <rPr>
        <b val="true"/>
        <sz val="10"/>
        <color rgb="FFCC0000"/>
        <rFont val="Noto Sans CJK SC"/>
        <family val="2"/>
      </rPr>
      <t xml:space="preserve">전체 </t>
    </r>
    <r>
      <rPr>
        <b val="true"/>
        <sz val="10"/>
        <color rgb="FFCC0000"/>
        <rFont val="Noto Sans KR"/>
        <family val="0"/>
        <charset val="1"/>
      </rPr>
      <t xml:space="preserve">15</t>
    </r>
    <r>
      <rPr>
        <b val="true"/>
        <sz val="10"/>
        <color rgb="FFCC0000"/>
        <rFont val="Noto Sans CJK SC"/>
        <family val="2"/>
      </rPr>
      <t xml:space="preserve">개   →  지금 발주해야 리드타임 커버</t>
    </r>
  </si>
  <si>
    <r>
      <rPr>
        <sz val="9"/>
        <color rgb="FFCC0000"/>
        <rFont val="Noto Sans CJK SC"/>
        <family val="2"/>
      </rPr>
      <t xml:space="preserve">출처</t>
    </r>
    <r>
      <rPr>
        <sz val="9"/>
        <color rgb="FFCC0000"/>
        <rFont val="Noto Sans KR"/>
        <family val="0"/>
        <charset val="1"/>
      </rPr>
      <t xml:space="preserve">: </t>
    </r>
    <r>
      <rPr>
        <sz val="9"/>
        <color rgb="FFCC0000"/>
        <rFont val="Noto Sans CJK SC"/>
        <family val="2"/>
      </rPr>
      <t xml:space="preserve">디자인팀</t>
    </r>
    <r>
      <rPr>
        <sz val="9"/>
        <color rgb="FFCC0000"/>
        <rFont val="Noto Sans KR"/>
        <family val="0"/>
        <charset val="1"/>
      </rPr>
      <t xml:space="preserve">_</t>
    </r>
    <r>
      <rPr>
        <sz val="9"/>
        <color rgb="FFCC0000"/>
        <rFont val="Noto Sans CJK SC"/>
        <family val="2"/>
      </rPr>
      <t xml:space="preserve">발주필요 </t>
    </r>
    <r>
      <rPr>
        <sz val="9"/>
        <color rgb="FFCC0000"/>
        <rFont val="Noto Sans KR"/>
        <family val="0"/>
        <charset val="1"/>
      </rPr>
      <t xml:space="preserve">· </t>
    </r>
    <r>
      <rPr>
        <sz val="9"/>
        <color rgb="FFCC0000"/>
        <rFont val="Noto Sans CJK SC"/>
        <family val="2"/>
      </rPr>
      <t xml:space="preserve">정렬</t>
    </r>
    <r>
      <rPr>
        <sz val="9"/>
        <color rgb="FFCC0000"/>
        <rFont val="Noto Sans KR"/>
        <family val="0"/>
        <charset val="1"/>
      </rPr>
      <t xml:space="preserve">: </t>
    </r>
    <r>
      <rPr>
        <sz val="9"/>
        <color rgb="FFCC0000"/>
        <rFont val="Noto Sans CJK SC"/>
        <family val="2"/>
      </rPr>
      <t xml:space="preserve">우선순위 → 재고 오름차순</t>
    </r>
  </si>
  <si>
    <t xml:space="preserve">순위</t>
  </si>
  <si>
    <t xml:space="preserve">브랜드</t>
  </si>
  <si>
    <t xml:space="preserve">품목명</t>
  </si>
  <si>
    <t xml:space="preserve">상태</t>
  </si>
  <si>
    <t xml:space="preserve">재고</t>
  </si>
  <si>
    <r>
      <rPr>
        <b val="true"/>
        <sz val="10"/>
        <color rgb="FF222222"/>
        <rFont val="Noto Sans KR"/>
        <family val="0"/>
        <charset val="1"/>
      </rPr>
      <t xml:space="preserve">7</t>
    </r>
    <r>
      <rPr>
        <b val="true"/>
        <sz val="10"/>
        <color rgb="FF222222"/>
        <rFont val="Noto Sans CJK SC"/>
        <family val="2"/>
      </rPr>
      <t xml:space="preserve">일 판매</t>
    </r>
  </si>
  <si>
    <r>
      <rPr>
        <b val="true"/>
        <sz val="10"/>
        <color rgb="FF222222"/>
        <rFont val="Noto Sans KR"/>
        <family val="0"/>
        <charset val="1"/>
      </rPr>
      <t xml:space="preserve">DOI(</t>
    </r>
    <r>
      <rPr>
        <b val="true"/>
        <sz val="10"/>
        <color rgb="FF222222"/>
        <rFont val="Noto Sans CJK SC"/>
        <family val="2"/>
      </rPr>
      <t xml:space="preserve">소진일</t>
    </r>
    <r>
      <rPr>
        <b val="true"/>
        <sz val="10"/>
        <color rgb="FF222222"/>
        <rFont val="Noto Sans KR"/>
        <family val="0"/>
        <charset val="1"/>
      </rPr>
      <t xml:space="preserve">)</t>
    </r>
  </si>
  <si>
    <r>
      <rPr>
        <b val="true"/>
        <sz val="10"/>
        <color rgb="FF222222"/>
        <rFont val="Noto Sans CJK SC"/>
        <family val="2"/>
      </rPr>
      <t xml:space="preserve">경과</t>
    </r>
    <r>
      <rPr>
        <b val="true"/>
        <sz val="10"/>
        <color rgb="FF222222"/>
        <rFont val="Noto Sans KR"/>
        <family val="0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일</t>
    </r>
    <r>
      <rPr>
        <b val="true"/>
        <sz val="10"/>
        <color rgb="FF222222"/>
        <rFont val="Noto Sans KR"/>
        <family val="0"/>
        <charset val="1"/>
      </rPr>
      <t xml:space="preserve">)</t>
    </r>
  </si>
  <si>
    <t xml:space="preserve">조치</t>
  </si>
  <si>
    <r>
      <rPr>
        <sz val="10"/>
        <color rgb="FF333333"/>
        <rFont val="Noto Sans CJK SC"/>
        <family val="2"/>
      </rPr>
      <t xml:space="preserve">국내</t>
    </r>
    <r>
      <rPr>
        <sz val="10"/>
        <color rgb="FF333333"/>
        <rFont val="Noto Sans KR"/>
        <family val="0"/>
        <charset val="1"/>
      </rPr>
      <t xml:space="preserve">OEM</t>
    </r>
  </si>
  <si>
    <r>
      <rPr>
        <sz val="10"/>
        <color rgb="FF333333"/>
        <rFont val="Noto Sans CJK SC"/>
        <family val="2"/>
      </rPr>
      <t xml:space="preserve">라벨 스티커 </t>
    </r>
    <r>
      <rPr>
        <sz val="10"/>
        <color rgb="FF333333"/>
        <rFont val="Noto Sans KR"/>
        <family val="0"/>
        <charset val="1"/>
      </rPr>
      <t xml:space="preserve">A4</t>
    </r>
  </si>
  <si>
    <t xml:space="preserve">국내사입</t>
  </si>
  <si>
    <t xml:space="preserve">🔴 초과주문</t>
  </si>
  <si>
    <t xml:space="preserve">재고 음수 — 이카운트 전표 확인 필요</t>
  </si>
  <si>
    <t xml:space="preserve">크라프트 봉투 소</t>
  </si>
  <si>
    <r>
      <rPr>
        <b val="true"/>
        <sz val="10"/>
        <color rgb="FFCC0000"/>
        <rFont val="Noto Sans CJK SC"/>
        <family val="2"/>
      </rPr>
      <t xml:space="preserve">🔴 품절</t>
    </r>
    <r>
      <rPr>
        <b val="true"/>
        <sz val="10"/>
        <color rgb="FFCC0000"/>
        <rFont val="Noto Sans KR"/>
        <family val="0"/>
        <charset val="1"/>
      </rPr>
      <t xml:space="preserve">-</t>
    </r>
    <r>
      <rPr>
        <b val="true"/>
        <sz val="10"/>
        <color rgb="FFCC0000"/>
        <rFont val="Noto Sans CJK SC"/>
        <family val="2"/>
      </rPr>
      <t xml:space="preserve">신규</t>
    </r>
  </si>
  <si>
    <r>
      <rPr>
        <sz val="10"/>
        <color rgb="FF333333"/>
        <rFont val="Noto Sans CJK SC"/>
        <family val="2"/>
      </rPr>
      <t xml:space="preserve">품절 </t>
    </r>
    <r>
      <rPr>
        <sz val="10"/>
        <color rgb="FF333333"/>
        <rFont val="Noto Sans KR"/>
        <family val="0"/>
        <charset val="1"/>
      </rPr>
      <t xml:space="preserve">8</t>
    </r>
    <r>
      <rPr>
        <sz val="10"/>
        <color rgb="FF333333"/>
        <rFont val="Noto Sans CJK SC"/>
        <family val="2"/>
      </rPr>
      <t xml:space="preserve">일 경과 — 즉시 사입</t>
    </r>
  </si>
  <si>
    <t xml:space="preserve">LEUCHTTURM</t>
  </si>
  <si>
    <r>
      <rPr>
        <sz val="10"/>
        <color rgb="FF333333"/>
        <rFont val="Noto Sans CJK SC"/>
        <family val="2"/>
      </rPr>
      <t xml:space="preserve">로이히트툼 </t>
    </r>
    <r>
      <rPr>
        <sz val="10"/>
        <color rgb="FF333333"/>
        <rFont val="Noto Sans KR"/>
        <family val="0"/>
        <charset val="1"/>
      </rPr>
      <t xml:space="preserve">A5 </t>
    </r>
    <r>
      <rPr>
        <sz val="10"/>
        <color rgb="FF333333"/>
        <rFont val="Noto Sans CJK SC"/>
        <family val="2"/>
      </rPr>
      <t xml:space="preserve">도트</t>
    </r>
  </si>
  <si>
    <t xml:space="preserve">해외수입</t>
  </si>
  <si>
    <t xml:space="preserve">🔴 위험</t>
  </si>
  <si>
    <r>
      <rPr>
        <sz val="10"/>
        <color rgb="FF333333"/>
        <rFont val="Noto Sans CJK SC"/>
        <family val="2"/>
      </rPr>
      <t xml:space="preserve">법인창고 </t>
    </r>
    <r>
      <rPr>
        <sz val="10"/>
        <color rgb="FF333333"/>
        <rFont val="Noto Sans KR"/>
        <family val="0"/>
        <charset val="1"/>
      </rPr>
      <t xml:space="preserve">0 — </t>
    </r>
    <r>
      <rPr>
        <sz val="10"/>
        <color rgb="FF333333"/>
        <rFont val="Noto Sans CJK SC"/>
        <family val="2"/>
      </rPr>
      <t xml:space="preserve">해외 발주 </t>
    </r>
    <r>
      <rPr>
        <sz val="10"/>
        <color rgb="FF333333"/>
        <rFont val="Noto Sans KR"/>
        <family val="0"/>
        <charset val="1"/>
      </rPr>
      <t xml:space="preserve">+ </t>
    </r>
    <r>
      <rPr>
        <sz val="10"/>
        <color rgb="FF333333"/>
        <rFont val="Noto Sans CJK SC"/>
        <family val="2"/>
      </rPr>
      <t xml:space="preserve">매장 재분배</t>
    </r>
  </si>
  <si>
    <t xml:space="preserve">POV</t>
  </si>
  <si>
    <r>
      <rPr>
        <sz val="10"/>
        <color rgb="FF333333"/>
        <rFont val="Noto Sans CJK SC"/>
        <family val="2"/>
      </rPr>
      <t xml:space="preserve">데스크 매트 </t>
    </r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리넨</t>
    </r>
  </si>
  <si>
    <t xml:space="preserve">자체제작</t>
  </si>
  <si>
    <r>
      <rPr>
        <sz val="10"/>
        <color rgb="FF333333"/>
        <rFont val="Noto Sans CJK SC"/>
        <family val="2"/>
      </rPr>
      <t xml:space="preserve">즉시 제작 발주 — 오프라인 </t>
    </r>
    <r>
      <rPr>
        <sz val="10"/>
        <color rgb="FF333333"/>
        <rFont val="Noto Sans KR"/>
        <family val="0"/>
        <charset val="1"/>
      </rPr>
      <t xml:space="preserve">2</t>
    </r>
    <r>
      <rPr>
        <sz val="10"/>
        <color rgb="FF333333"/>
        <rFont val="Noto Sans CJK SC"/>
        <family val="2"/>
      </rPr>
      <t xml:space="preserve">개점 결품</t>
    </r>
  </si>
  <si>
    <r>
      <rPr>
        <sz val="10"/>
        <color rgb="FF333333"/>
        <rFont val="Noto Sans CJK SC"/>
        <family val="2"/>
      </rPr>
      <t xml:space="preserve">오피스 클립 </t>
    </r>
    <r>
      <rPr>
        <sz val="10"/>
        <color rgb="FF333333"/>
        <rFont val="Noto Sans KR"/>
        <family val="0"/>
        <charset val="1"/>
      </rPr>
      <t xml:space="preserve">32mm</t>
    </r>
  </si>
  <si>
    <r>
      <rPr>
        <sz val="10"/>
        <color rgb="FF333333"/>
        <rFont val="Noto Sans CJK SC"/>
        <family val="2"/>
      </rPr>
      <t xml:space="preserve">즉시 사입 — 재고 </t>
    </r>
    <r>
      <rPr>
        <sz val="10"/>
        <color rgb="FF333333"/>
        <rFont val="Noto Sans KR"/>
        <family val="0"/>
        <charset val="1"/>
      </rPr>
      <t xml:space="preserve">4</t>
    </r>
    <r>
      <rPr>
        <sz val="10"/>
        <color rgb="FF333333"/>
        <rFont val="Noto Sans CJK SC"/>
        <family val="2"/>
      </rPr>
      <t xml:space="preserve">일분</t>
    </r>
  </si>
  <si>
    <t xml:space="preserve">모나미</t>
  </si>
  <si>
    <r>
      <rPr>
        <sz val="10"/>
        <color rgb="FF333333"/>
        <rFont val="Noto Sans CJK SC"/>
        <family val="2"/>
      </rPr>
      <t xml:space="preserve">올리카 젤 </t>
    </r>
    <r>
      <rPr>
        <sz val="10"/>
        <color rgb="FF333333"/>
        <rFont val="Noto Sans KR"/>
        <family val="0"/>
        <charset val="1"/>
      </rPr>
      <t xml:space="preserve">0.5</t>
    </r>
  </si>
  <si>
    <t xml:space="preserve">AE</t>
  </si>
  <si>
    <t xml:space="preserve">에크리튜 봉투 세트</t>
  </si>
  <si>
    <t xml:space="preserve">즉시 제작 발주 — 시시호시 결품</t>
  </si>
  <si>
    <t xml:space="preserve">BLACKWING</t>
  </si>
  <si>
    <r>
      <rPr>
        <sz val="10"/>
        <color rgb="FF333333"/>
        <rFont val="Noto Sans CJK SC"/>
        <family val="2"/>
      </rPr>
      <t xml:space="preserve">블랙윙 </t>
    </r>
    <r>
      <rPr>
        <sz val="10"/>
        <color rgb="FF333333"/>
        <rFont val="Noto Sans KR"/>
        <family val="0"/>
        <charset val="1"/>
      </rPr>
      <t xml:space="preserve">602 (12</t>
    </r>
    <r>
      <rPr>
        <sz val="10"/>
        <color rgb="FF333333"/>
        <rFont val="Noto Sans CJK SC"/>
        <family val="2"/>
      </rPr>
      <t xml:space="preserve">본</t>
    </r>
    <r>
      <rPr>
        <sz val="10"/>
        <color rgb="FF333333"/>
        <rFont val="Noto Sans KR"/>
        <family val="0"/>
        <charset val="1"/>
      </rPr>
      <t xml:space="preserve">)</t>
    </r>
  </si>
  <si>
    <t xml:space="preserve">해외 발주 — 시시호시 결품</t>
  </si>
  <si>
    <t xml:space="preserve">KAWECO</t>
  </si>
  <si>
    <r>
      <rPr>
        <sz val="10"/>
        <color rgb="FF333333"/>
        <rFont val="Noto Sans CJK SC"/>
        <family val="2"/>
      </rPr>
      <t xml:space="preserve">카웨코 스포츠 만년필 </t>
    </r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블랙</t>
    </r>
  </si>
  <si>
    <r>
      <rPr>
        <sz val="10"/>
        <color rgb="FF333333"/>
        <rFont val="Noto Sans CJK SC"/>
        <family val="2"/>
      </rPr>
      <t xml:space="preserve">해외 발주 — 선적 </t>
    </r>
    <r>
      <rPr>
        <sz val="10"/>
        <color rgb="FF333333"/>
        <rFont val="Noto Sans KR"/>
        <family val="0"/>
        <charset val="1"/>
      </rPr>
      <t xml:space="preserve">45</t>
    </r>
    <r>
      <rPr>
        <sz val="10"/>
        <color rgb="FF333333"/>
        <rFont val="Noto Sans CJK SC"/>
        <family val="2"/>
      </rPr>
      <t xml:space="preserve">일 감안</t>
    </r>
  </si>
  <si>
    <r>
      <rPr>
        <sz val="10"/>
        <color rgb="FF333333"/>
        <rFont val="Noto Sans CJK SC"/>
        <family val="2"/>
      </rPr>
      <t xml:space="preserve">오브제 노트 </t>
    </r>
    <r>
      <rPr>
        <sz val="10"/>
        <color rgb="FF333333"/>
        <rFont val="Noto Sans KR"/>
        <family val="0"/>
        <charset val="1"/>
      </rPr>
      <t xml:space="preserve">A5 · </t>
    </r>
    <r>
      <rPr>
        <sz val="10"/>
        <color rgb="FF333333"/>
        <rFont val="Noto Sans CJK SC"/>
        <family val="2"/>
      </rPr>
      <t xml:space="preserve">크림</t>
    </r>
  </si>
  <si>
    <r>
      <rPr>
        <sz val="10"/>
        <color rgb="FF333333"/>
        <rFont val="Noto Sans CJK SC"/>
        <family val="2"/>
      </rPr>
      <t xml:space="preserve">즉시 제작 발주 — 리드타임 </t>
    </r>
    <r>
      <rPr>
        <sz val="10"/>
        <color rgb="FF333333"/>
        <rFont val="Noto Sans KR"/>
        <family val="0"/>
        <charset val="1"/>
      </rPr>
      <t xml:space="preserve">30</t>
    </r>
    <r>
      <rPr>
        <sz val="10"/>
        <color rgb="FF333333"/>
        <rFont val="Noto Sans CJK SC"/>
        <family val="2"/>
      </rPr>
      <t xml:space="preserve">일</t>
    </r>
  </si>
  <si>
    <r>
      <rPr>
        <sz val="10"/>
        <color rgb="FF333333"/>
        <rFont val="Noto Sans CJK SC"/>
        <family val="2"/>
      </rPr>
      <t xml:space="preserve">데스크 매트 </t>
    </r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워시드블랙</t>
    </r>
  </si>
  <si>
    <r>
      <rPr>
        <b val="true"/>
        <sz val="10"/>
        <color rgb="FFB35C00"/>
        <rFont val="Noto Sans CJK SC"/>
        <family val="2"/>
      </rPr>
      <t xml:space="preserve">🟠 품절</t>
    </r>
    <r>
      <rPr>
        <b val="true"/>
        <sz val="10"/>
        <color rgb="FFB35C00"/>
        <rFont val="Noto Sans KR"/>
        <family val="0"/>
        <charset val="1"/>
      </rPr>
      <t xml:space="preserve">-</t>
    </r>
    <r>
      <rPr>
        <b val="true"/>
        <sz val="10"/>
        <color rgb="FFB35C00"/>
        <rFont val="Noto Sans CJK SC"/>
        <family val="2"/>
      </rPr>
      <t xml:space="preserve">지속</t>
    </r>
  </si>
  <si>
    <r>
      <rPr>
        <sz val="10"/>
        <color rgb="FF333333"/>
        <rFont val="Noto Sans CJK SC"/>
        <family val="2"/>
      </rPr>
      <t xml:space="preserve">품절 </t>
    </r>
    <r>
      <rPr>
        <sz val="10"/>
        <color rgb="FF333333"/>
        <rFont val="Noto Sans KR"/>
        <family val="0"/>
        <charset val="1"/>
      </rPr>
      <t xml:space="preserve">12</t>
    </r>
    <r>
      <rPr>
        <sz val="10"/>
        <color rgb="FF333333"/>
        <rFont val="Noto Sans CJK SC"/>
        <family val="2"/>
      </rPr>
      <t xml:space="preserve">일 경과 — 제작 발주 확정 필요</t>
    </r>
  </si>
  <si>
    <r>
      <rPr>
        <sz val="10"/>
        <color rgb="FF333333"/>
        <rFont val="Noto Sans CJK SC"/>
        <family val="2"/>
      </rPr>
      <t xml:space="preserve">프러스펜 </t>
    </r>
    <r>
      <rPr>
        <sz val="10"/>
        <color rgb="FF333333"/>
        <rFont val="Noto Sans KR"/>
        <family val="0"/>
        <charset val="1"/>
      </rPr>
      <t xml:space="preserve">3000 · 12</t>
    </r>
    <r>
      <rPr>
        <sz val="10"/>
        <color rgb="FF333333"/>
        <rFont val="Noto Sans CJK SC"/>
        <family val="2"/>
      </rPr>
      <t xml:space="preserve">색</t>
    </r>
  </si>
  <si>
    <t xml:space="preserve">🟠 주의</t>
  </si>
  <si>
    <t xml:space="preserve">금주 사입 발주</t>
  </si>
  <si>
    <r>
      <rPr>
        <sz val="10"/>
        <color rgb="FF333333"/>
        <rFont val="Noto Sans CJK SC"/>
        <family val="2"/>
      </rPr>
      <t xml:space="preserve">카웨코 스포츠 만년필 </t>
    </r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화이트</t>
    </r>
  </si>
  <si>
    <t xml:space="preserve">다음 컨테이너에 합본 발주</t>
  </si>
  <si>
    <r>
      <rPr>
        <sz val="10"/>
        <color rgb="FF333333"/>
        <rFont val="Noto Sans CJK SC"/>
        <family val="2"/>
      </rPr>
      <t xml:space="preserve">오브제 노트 </t>
    </r>
    <r>
      <rPr>
        <sz val="10"/>
        <color rgb="FF333333"/>
        <rFont val="Noto Sans KR"/>
        <family val="0"/>
        <charset val="1"/>
      </rPr>
      <t xml:space="preserve">A5 · </t>
    </r>
    <r>
      <rPr>
        <sz val="10"/>
        <color rgb="FF333333"/>
        <rFont val="Noto Sans CJK SC"/>
        <family val="2"/>
      </rPr>
      <t xml:space="preserve">그레이</t>
    </r>
  </si>
  <si>
    <r>
      <rPr>
        <sz val="10"/>
        <color rgb="FF333333"/>
        <rFont val="Noto Sans KR"/>
        <family val="0"/>
        <charset val="1"/>
      </rPr>
      <t xml:space="preserve">2</t>
    </r>
    <r>
      <rPr>
        <sz val="10"/>
        <color rgb="FF333333"/>
        <rFont val="Noto Sans CJK SC"/>
        <family val="2"/>
      </rPr>
      <t xml:space="preserve">주 내 발주 준비</t>
    </r>
  </si>
  <si>
    <t xml:space="preserve">HIGHTIDE</t>
  </si>
  <si>
    <r>
      <rPr>
        <sz val="10"/>
        <color rgb="FF333333"/>
        <rFont val="Noto Sans CJK SC"/>
        <family val="2"/>
      </rPr>
      <t xml:space="preserve">팬텀 클립 </t>
    </r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브라스</t>
    </r>
  </si>
  <si>
    <r>
      <rPr>
        <sz val="10"/>
        <color rgb="FF999999"/>
        <rFont val="Noto Sans CJK SC"/>
        <family val="2"/>
      </rPr>
      <t xml:space="preserve">⚫️ 품절</t>
    </r>
    <r>
      <rPr>
        <sz val="10"/>
        <color rgb="FF999999"/>
        <rFont val="Noto Sans KR"/>
        <family val="0"/>
        <charset val="1"/>
      </rPr>
      <t xml:space="preserve">-</t>
    </r>
    <r>
      <rPr>
        <sz val="10"/>
        <color rgb="FF999999"/>
        <rFont val="Noto Sans CJK SC"/>
        <family val="2"/>
      </rPr>
      <t xml:space="preserve">장기</t>
    </r>
  </si>
  <si>
    <r>
      <rPr>
        <sz val="10"/>
        <color rgb="FF333333"/>
        <rFont val="Noto Sans CJK SC"/>
        <family val="2"/>
      </rPr>
      <t xml:space="preserve">품절 </t>
    </r>
    <r>
      <rPr>
        <sz val="10"/>
        <color rgb="FF333333"/>
        <rFont val="Noto Sans KR"/>
        <family val="0"/>
        <charset val="1"/>
      </rPr>
      <t xml:space="preserve">34</t>
    </r>
    <r>
      <rPr>
        <sz val="10"/>
        <color rgb="FF333333"/>
        <rFont val="Noto Sans CJK SC"/>
        <family val="2"/>
      </rPr>
      <t xml:space="preserve">일 경과 — 재발주 여부 판단</t>
    </r>
  </si>
  <si>
    <r>
      <rPr>
        <b val="true"/>
        <sz val="10"/>
        <color rgb="FFCC0000"/>
        <rFont val="Noto Sans KR"/>
        <family val="0"/>
        <charset val="1"/>
      </rPr>
      <t xml:space="preserve">3</t>
    </r>
    <r>
      <rPr>
        <b val="true"/>
        <sz val="10"/>
        <color rgb="FFCC0000"/>
        <rFont val="Noto Sans CJK SC"/>
        <family val="2"/>
      </rPr>
      <t xml:space="preserve">일 이상 품절 — 상위 </t>
    </r>
    <r>
      <rPr>
        <b val="true"/>
        <sz val="10"/>
        <color rgb="FFCC0000"/>
        <rFont val="Noto Sans KR"/>
        <family val="0"/>
        <charset val="1"/>
      </rPr>
      <t xml:space="preserve">10 / </t>
    </r>
    <r>
      <rPr>
        <b val="true"/>
        <sz val="10"/>
        <color rgb="FFCC0000"/>
        <rFont val="Noto Sans CJK SC"/>
        <family val="2"/>
      </rPr>
      <t xml:space="preserve">전체 </t>
    </r>
    <r>
      <rPr>
        <b val="true"/>
        <sz val="10"/>
        <color rgb="FFCC0000"/>
        <rFont val="Noto Sans KR"/>
        <family val="0"/>
        <charset val="1"/>
      </rPr>
      <t xml:space="preserve">3</t>
    </r>
    <r>
      <rPr>
        <b val="true"/>
        <sz val="10"/>
        <color rgb="FFCC0000"/>
        <rFont val="Noto Sans CJK SC"/>
        <family val="2"/>
      </rPr>
      <t xml:space="preserve">개   →  즉시 재입고 검토</t>
    </r>
  </si>
  <si>
    <r>
      <rPr>
        <sz val="9"/>
        <color rgb="FFCC0000"/>
        <rFont val="Noto Sans CJK SC"/>
        <family val="2"/>
      </rPr>
      <t xml:space="preserve">출처</t>
    </r>
    <r>
      <rPr>
        <sz val="9"/>
        <color rgb="FFCC0000"/>
        <rFont val="Noto Sans KR"/>
        <family val="0"/>
        <charset val="1"/>
      </rPr>
      <t xml:space="preserve">: </t>
    </r>
    <r>
      <rPr>
        <sz val="9"/>
        <color rgb="FFCC0000"/>
        <rFont val="Noto Sans CJK SC"/>
        <family val="2"/>
      </rPr>
      <t xml:space="preserve">디자인팀</t>
    </r>
    <r>
      <rPr>
        <sz val="9"/>
        <color rgb="FFCC0000"/>
        <rFont val="Noto Sans KR"/>
        <family val="0"/>
        <charset val="1"/>
      </rPr>
      <t xml:space="preserve">_</t>
    </r>
    <r>
      <rPr>
        <sz val="9"/>
        <color rgb="FFCC0000"/>
        <rFont val="Noto Sans CJK SC"/>
        <family val="2"/>
      </rPr>
      <t xml:space="preserve">발주필요 </t>
    </r>
    <r>
      <rPr>
        <sz val="9"/>
        <color rgb="FFCC0000"/>
        <rFont val="Noto Sans KR"/>
        <family val="0"/>
        <charset val="1"/>
      </rPr>
      <t xml:space="preserve">· </t>
    </r>
    <r>
      <rPr>
        <sz val="9"/>
        <color rgb="FFCC0000"/>
        <rFont val="Noto Sans CJK SC"/>
        <family val="2"/>
      </rPr>
      <t xml:space="preserve">정렬</t>
    </r>
    <r>
      <rPr>
        <sz val="9"/>
        <color rgb="FFCC0000"/>
        <rFont val="Noto Sans KR"/>
        <family val="0"/>
        <charset val="1"/>
      </rPr>
      <t xml:space="preserve">: </t>
    </r>
    <r>
      <rPr>
        <sz val="9"/>
        <color rgb="FFCC0000"/>
        <rFont val="Noto Sans CJK SC"/>
        <family val="2"/>
      </rPr>
      <t xml:space="preserve">품절경과일 내림차순</t>
    </r>
  </si>
  <si>
    <r>
      <rPr>
        <b val="true"/>
        <sz val="10"/>
        <color rgb="FFB36B00"/>
        <rFont val="Noto Sans CJK SC"/>
        <family val="2"/>
      </rPr>
      <t xml:space="preserve">창고이동 검토 — 상위 </t>
    </r>
    <r>
      <rPr>
        <b val="true"/>
        <sz val="10"/>
        <color rgb="FFB36B00"/>
        <rFont val="Noto Sans KR"/>
        <family val="0"/>
        <charset val="1"/>
      </rPr>
      <t xml:space="preserve">20 / </t>
    </r>
    <r>
      <rPr>
        <b val="true"/>
        <sz val="10"/>
        <color rgb="FFB36B00"/>
        <rFont val="Noto Sans CJK SC"/>
        <family val="2"/>
      </rPr>
      <t xml:space="preserve">전체 </t>
    </r>
    <r>
      <rPr>
        <b val="true"/>
        <sz val="10"/>
        <color rgb="FFB36B00"/>
        <rFont val="Noto Sans KR"/>
        <family val="0"/>
        <charset val="1"/>
      </rPr>
      <t xml:space="preserve">8</t>
    </r>
    <r>
      <rPr>
        <b val="true"/>
        <sz val="10"/>
        <color rgb="FFB36B00"/>
        <rFont val="Noto Sans CJK SC"/>
        <family val="2"/>
      </rPr>
      <t xml:space="preserve">개   →  결품 매장으로 재고 이동</t>
    </r>
  </si>
  <si>
    <r>
      <rPr>
        <sz val="9"/>
        <color rgb="FFB36B00"/>
        <rFont val="Noto Sans CJK SC"/>
        <family val="2"/>
      </rPr>
      <t xml:space="preserve">출처</t>
    </r>
    <r>
      <rPr>
        <sz val="9"/>
        <color rgb="FFB36B00"/>
        <rFont val="Noto Sans KR"/>
        <family val="0"/>
        <charset val="1"/>
      </rPr>
      <t xml:space="preserve">: </t>
    </r>
    <r>
      <rPr>
        <sz val="9"/>
        <color rgb="FFB36B00"/>
        <rFont val="Noto Sans CJK SC"/>
        <family val="2"/>
      </rPr>
      <t xml:space="preserve">관리팀</t>
    </r>
    <r>
      <rPr>
        <sz val="9"/>
        <color rgb="FFB36B00"/>
        <rFont val="Noto Sans KR"/>
        <family val="0"/>
        <charset val="1"/>
      </rPr>
      <t xml:space="preserve">_</t>
    </r>
    <r>
      <rPr>
        <sz val="9"/>
        <color rgb="FFB36B00"/>
        <rFont val="Noto Sans CJK SC"/>
        <family val="2"/>
      </rPr>
      <t xml:space="preserve">전체재고 </t>
    </r>
    <r>
      <rPr>
        <sz val="9"/>
        <color rgb="FFB36B00"/>
        <rFont val="Noto Sans KR"/>
        <family val="0"/>
        <charset val="1"/>
      </rPr>
      <t xml:space="preserve">· </t>
    </r>
    <r>
      <rPr>
        <sz val="9"/>
        <color rgb="FFB36B00"/>
        <rFont val="Noto Sans CJK SC"/>
        <family val="2"/>
      </rPr>
      <t xml:space="preserve">총재고</t>
    </r>
    <r>
      <rPr>
        <sz val="9"/>
        <color rgb="FFB36B00"/>
        <rFont val="Noto Sans KR"/>
        <family val="0"/>
        <charset val="1"/>
      </rPr>
      <t xml:space="preserve">&gt;0 · </t>
    </r>
    <r>
      <rPr>
        <sz val="9"/>
        <color rgb="FFB36B00"/>
        <rFont val="Noto Sans CJK SC"/>
        <family val="2"/>
      </rPr>
      <t xml:space="preserve">결품 매장 수 내림차순</t>
    </r>
  </si>
  <si>
    <r>
      <rPr>
        <sz val="10"/>
        <color rgb="FF333333"/>
        <rFont val="Noto Sans CJK SC"/>
        <family val="2"/>
      </rPr>
      <t xml:space="preserve">툴 트레이 </t>
    </r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스틸</t>
    </r>
  </si>
  <si>
    <t xml:space="preserve">🟡 재고소량</t>
  </si>
  <si>
    <r>
      <rPr>
        <sz val="10"/>
        <color rgb="FF333333"/>
        <rFont val="Noto Sans KR"/>
        <family val="0"/>
        <charset val="1"/>
      </rPr>
      <t xml:space="preserve">POINT OF VIEW(</t>
    </r>
    <r>
      <rPr>
        <sz val="10"/>
        <color rgb="FF333333"/>
        <rFont val="Noto Sans CJK SC"/>
        <family val="2"/>
      </rPr>
      <t xml:space="preserve">법인</t>
    </r>
    <r>
      <rPr>
        <sz val="10"/>
        <color rgb="FF333333"/>
        <rFont val="Noto Sans KR"/>
        <family val="0"/>
        <charset val="1"/>
      </rPr>
      <t xml:space="preserve">) · THE HYUNDAI SEOUL · </t>
    </r>
    <r>
      <rPr>
        <sz val="10"/>
        <color rgb="FF333333"/>
        <rFont val="Noto Sans CJK SC"/>
        <family val="2"/>
      </rPr>
      <t xml:space="preserve">신세계 강남</t>
    </r>
    <r>
      <rPr>
        <sz val="10"/>
        <color rgb="FF333333"/>
        <rFont val="Noto Sans KR"/>
        <family val="0"/>
        <charset val="1"/>
      </rPr>
      <t xml:space="preserve">-</t>
    </r>
    <r>
      <rPr>
        <sz val="10"/>
        <color rgb="FF333333"/>
        <rFont val="Noto Sans CJK SC"/>
        <family val="2"/>
      </rPr>
      <t xml:space="preserve">피숀 결품 — 재고 이동 검토</t>
    </r>
  </si>
  <si>
    <r>
      <rPr>
        <sz val="10"/>
        <color rgb="FF333333"/>
        <rFont val="Noto Sans CJK SC"/>
        <family val="2"/>
      </rPr>
      <t xml:space="preserve">잉크 블로터 </t>
    </r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월넛</t>
    </r>
  </si>
  <si>
    <r>
      <rPr>
        <sz val="10"/>
        <color rgb="FF333333"/>
        <rFont val="Noto Sans CJK SC"/>
        <family val="2"/>
      </rPr>
      <t xml:space="preserve">시시호시</t>
    </r>
    <r>
      <rPr>
        <sz val="10"/>
        <color rgb="FF333333"/>
        <rFont val="Noto Sans KR"/>
        <family val="0"/>
        <charset val="1"/>
      </rPr>
      <t xml:space="preserve">-</t>
    </r>
    <r>
      <rPr>
        <sz val="10"/>
        <color rgb="FF333333"/>
        <rFont val="Noto Sans CJK SC"/>
        <family val="2"/>
      </rPr>
      <t xml:space="preserve">수원점 </t>
    </r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신세계 강남</t>
    </r>
    <r>
      <rPr>
        <sz val="10"/>
        <color rgb="FF333333"/>
        <rFont val="Noto Sans KR"/>
        <family val="0"/>
        <charset val="1"/>
      </rPr>
      <t xml:space="preserve">-</t>
    </r>
    <r>
      <rPr>
        <sz val="10"/>
        <color rgb="FF333333"/>
        <rFont val="Noto Sans CJK SC"/>
        <family val="2"/>
      </rPr>
      <t xml:space="preserve">피숀 결품 — 재고 이동 검토</t>
    </r>
  </si>
  <si>
    <r>
      <rPr>
        <sz val="10"/>
        <color rgb="FF333333"/>
        <rFont val="Noto Sans CJK SC"/>
        <family val="2"/>
      </rPr>
      <t xml:space="preserve">펜 케이스 </t>
    </r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캔버스</t>
    </r>
  </si>
  <si>
    <r>
      <rPr>
        <sz val="10"/>
        <color rgb="FF333333"/>
        <rFont val="Noto Sans KR"/>
        <family val="0"/>
        <charset val="1"/>
      </rPr>
      <t xml:space="preserve">THE HYUNDAI SEOUL · </t>
    </r>
    <r>
      <rPr>
        <sz val="10"/>
        <color rgb="FF333333"/>
        <rFont val="Noto Sans CJK SC"/>
        <family val="2"/>
      </rPr>
      <t xml:space="preserve">신세계 강남</t>
    </r>
    <r>
      <rPr>
        <sz val="10"/>
        <color rgb="FF333333"/>
        <rFont val="Noto Sans KR"/>
        <family val="0"/>
        <charset val="1"/>
      </rPr>
      <t xml:space="preserve">-</t>
    </r>
    <r>
      <rPr>
        <sz val="10"/>
        <color rgb="FF333333"/>
        <rFont val="Noto Sans CJK SC"/>
        <family val="2"/>
      </rPr>
      <t xml:space="preserve">피숀 결품 — 재고 이동 검토</t>
    </r>
  </si>
  <si>
    <r>
      <rPr>
        <sz val="10"/>
        <color rgb="FF333333"/>
        <rFont val="Noto Sans KR"/>
        <family val="0"/>
        <charset val="1"/>
      </rPr>
      <t xml:space="preserve">POINT OF VIEW(</t>
    </r>
    <r>
      <rPr>
        <sz val="10"/>
        <color rgb="FF333333"/>
        <rFont val="Noto Sans CJK SC"/>
        <family val="2"/>
      </rPr>
      <t xml:space="preserve">법인</t>
    </r>
    <r>
      <rPr>
        <sz val="10"/>
        <color rgb="FF333333"/>
        <rFont val="Noto Sans KR"/>
        <family val="0"/>
        <charset val="1"/>
      </rPr>
      <t xml:space="preserve">) · </t>
    </r>
    <r>
      <rPr>
        <sz val="10"/>
        <color rgb="FF333333"/>
        <rFont val="Noto Sans CJK SC"/>
        <family val="2"/>
      </rPr>
      <t xml:space="preserve">신세계 강남</t>
    </r>
    <r>
      <rPr>
        <sz val="10"/>
        <color rgb="FF333333"/>
        <rFont val="Noto Sans KR"/>
        <family val="0"/>
        <charset val="1"/>
      </rPr>
      <t xml:space="preserve">-</t>
    </r>
    <r>
      <rPr>
        <sz val="10"/>
        <color rgb="FF333333"/>
        <rFont val="Noto Sans CJK SC"/>
        <family val="2"/>
      </rPr>
      <t xml:space="preserve">피숀 결품 — 재고 이동 검토</t>
    </r>
  </si>
  <si>
    <r>
      <rPr>
        <sz val="10"/>
        <color rgb="FF333333"/>
        <rFont val="Noto Sans CJK SC"/>
        <family val="2"/>
      </rPr>
      <t xml:space="preserve">시시호시</t>
    </r>
    <r>
      <rPr>
        <sz val="10"/>
        <color rgb="FF333333"/>
        <rFont val="Noto Sans KR"/>
        <family val="0"/>
        <charset val="1"/>
      </rPr>
      <t xml:space="preserve">-</t>
    </r>
    <r>
      <rPr>
        <sz val="10"/>
        <color rgb="FF333333"/>
        <rFont val="Noto Sans CJK SC"/>
        <family val="2"/>
      </rPr>
      <t xml:space="preserve">수원점 결품 — 재고 이동 검토</t>
    </r>
  </si>
  <si>
    <r>
      <rPr>
        <b val="true"/>
        <sz val="10"/>
        <color rgb="FFB35C00"/>
        <rFont val="Noto Sans CJK SC"/>
        <family val="2"/>
      </rPr>
      <t xml:space="preserve">판매 속도 상위 — 상위 </t>
    </r>
    <r>
      <rPr>
        <b val="true"/>
        <sz val="10"/>
        <color rgb="FFB35C00"/>
        <rFont val="Noto Sans KR"/>
        <family val="0"/>
        <charset val="1"/>
      </rPr>
      <t xml:space="preserve">10 / </t>
    </r>
    <r>
      <rPr>
        <b val="true"/>
        <sz val="10"/>
        <color rgb="FFB35C00"/>
        <rFont val="Noto Sans CJK SC"/>
        <family val="2"/>
      </rPr>
      <t xml:space="preserve">전체 </t>
    </r>
    <r>
      <rPr>
        <b val="true"/>
        <sz val="10"/>
        <color rgb="FFB35C00"/>
        <rFont val="Noto Sans KR"/>
        <family val="0"/>
        <charset val="1"/>
      </rPr>
      <t xml:space="preserve">31</t>
    </r>
    <r>
      <rPr>
        <b val="true"/>
        <sz val="10"/>
        <color rgb="FFB35C00"/>
        <rFont val="Noto Sans CJK SC"/>
        <family val="2"/>
      </rPr>
      <t xml:space="preserve">개   →  재입고 우선순위 확인</t>
    </r>
  </si>
  <si>
    <r>
      <rPr>
        <sz val="9"/>
        <color rgb="FFB35C00"/>
        <rFont val="Noto Sans CJK SC"/>
        <family val="2"/>
      </rPr>
      <t xml:space="preserve">출처</t>
    </r>
    <r>
      <rPr>
        <sz val="9"/>
        <color rgb="FFB35C00"/>
        <rFont val="Noto Sans KR"/>
        <family val="0"/>
        <charset val="1"/>
      </rPr>
      <t xml:space="preserve">: </t>
    </r>
    <r>
      <rPr>
        <sz val="9"/>
        <color rgb="FFB35C00"/>
        <rFont val="Noto Sans CJK SC"/>
        <family val="2"/>
      </rPr>
      <t xml:space="preserve">관리팀</t>
    </r>
    <r>
      <rPr>
        <sz val="9"/>
        <color rgb="FFB35C00"/>
        <rFont val="Noto Sans KR"/>
        <family val="0"/>
        <charset val="1"/>
      </rPr>
      <t xml:space="preserve">_</t>
    </r>
    <r>
      <rPr>
        <sz val="9"/>
        <color rgb="FFB35C00"/>
        <rFont val="Noto Sans CJK SC"/>
        <family val="2"/>
      </rPr>
      <t xml:space="preserve">전체재고 </t>
    </r>
    <r>
      <rPr>
        <sz val="9"/>
        <color rgb="FFB35C00"/>
        <rFont val="Noto Sans KR"/>
        <family val="0"/>
        <charset val="1"/>
      </rPr>
      <t xml:space="preserve">· </t>
    </r>
    <r>
      <rPr>
        <sz val="9"/>
        <color rgb="FFB35C00"/>
        <rFont val="Noto Sans CJK SC"/>
        <family val="2"/>
      </rPr>
      <t xml:space="preserve">정렬</t>
    </r>
    <r>
      <rPr>
        <sz val="9"/>
        <color rgb="FFB35C00"/>
        <rFont val="Noto Sans KR"/>
        <family val="0"/>
        <charset val="1"/>
      </rPr>
      <t xml:space="preserve">: </t>
    </r>
    <r>
      <rPr>
        <sz val="9"/>
        <color rgb="FFB35C00"/>
        <rFont val="Noto Sans CJK SC"/>
        <family val="2"/>
      </rPr>
      <t xml:space="preserve">최근 </t>
    </r>
    <r>
      <rPr>
        <sz val="9"/>
        <color rgb="FFB35C00"/>
        <rFont val="Noto Sans KR"/>
        <family val="0"/>
        <charset val="1"/>
      </rPr>
      <t xml:space="preserve">7</t>
    </r>
    <r>
      <rPr>
        <sz val="9"/>
        <color rgb="FFB35C00"/>
        <rFont val="Noto Sans CJK SC"/>
        <family val="2"/>
      </rPr>
      <t xml:space="preserve">일 판매량 내림차순</t>
    </r>
  </si>
  <si>
    <t xml:space="preserve">종이나라</t>
  </si>
  <si>
    <r>
      <rPr>
        <sz val="10"/>
        <color rgb="FF333333"/>
        <rFont val="Noto Sans CJK SC"/>
        <family val="2"/>
      </rPr>
      <t xml:space="preserve">색지 </t>
    </r>
    <r>
      <rPr>
        <sz val="10"/>
        <color rgb="FF333333"/>
        <rFont val="Noto Sans KR"/>
        <family val="0"/>
        <charset val="1"/>
      </rPr>
      <t xml:space="preserve">A4 · </t>
    </r>
    <r>
      <rPr>
        <sz val="10"/>
        <color rgb="FF333333"/>
        <rFont val="Noto Sans CJK SC"/>
        <family val="2"/>
      </rPr>
      <t xml:space="preserve">파스텔</t>
    </r>
  </si>
  <si>
    <t xml:space="preserve">🟢 정상</t>
  </si>
  <si>
    <t xml:space="preserve">아모스</t>
  </si>
  <si>
    <t xml:space="preserve">데코 마카 세트</t>
  </si>
  <si>
    <t xml:space="preserve">MIDORI</t>
  </si>
  <si>
    <r>
      <rPr>
        <sz val="10"/>
        <color rgb="FF333333"/>
        <rFont val="Noto Sans CJK SC"/>
        <family val="2"/>
      </rPr>
      <t xml:space="preserve">미도리 </t>
    </r>
    <r>
      <rPr>
        <sz val="10"/>
        <color rgb="FF333333"/>
        <rFont val="Noto Sans KR"/>
        <family val="0"/>
        <charset val="1"/>
      </rPr>
      <t xml:space="preserve">MD </t>
    </r>
    <r>
      <rPr>
        <sz val="10"/>
        <color rgb="FF333333"/>
        <rFont val="Noto Sans CJK SC"/>
        <family val="2"/>
      </rPr>
      <t xml:space="preserve">노트 </t>
    </r>
    <r>
      <rPr>
        <sz val="10"/>
        <color rgb="FF333333"/>
        <rFont val="Noto Sans KR"/>
        <family val="0"/>
        <charset val="1"/>
      </rPr>
      <t xml:space="preserve">A5</t>
    </r>
  </si>
  <si>
    <r>
      <rPr>
        <b val="true"/>
        <sz val="10"/>
        <color rgb="FFB36B00"/>
        <rFont val="Noto Sans CJK SC"/>
        <family val="2"/>
      </rPr>
      <t xml:space="preserve">악성재고 정리 — 상위 </t>
    </r>
    <r>
      <rPr>
        <b val="true"/>
        <sz val="10"/>
        <color rgb="FFB36B00"/>
        <rFont val="Noto Sans KR"/>
        <family val="0"/>
        <charset val="1"/>
      </rPr>
      <t xml:space="preserve">10 / </t>
    </r>
    <r>
      <rPr>
        <b val="true"/>
        <sz val="10"/>
        <color rgb="FFB36B00"/>
        <rFont val="Noto Sans CJK SC"/>
        <family val="2"/>
      </rPr>
      <t xml:space="preserve">전체 </t>
    </r>
    <r>
      <rPr>
        <b val="true"/>
        <sz val="10"/>
        <color rgb="FFB36B00"/>
        <rFont val="Noto Sans KR"/>
        <family val="0"/>
        <charset val="1"/>
      </rPr>
      <t xml:space="preserve">10</t>
    </r>
    <r>
      <rPr>
        <b val="true"/>
        <sz val="10"/>
        <color rgb="FFB36B00"/>
        <rFont val="Noto Sans CJK SC"/>
        <family val="2"/>
      </rPr>
      <t xml:space="preserve">개   →  프로모션 </t>
    </r>
    <r>
      <rPr>
        <b val="true"/>
        <sz val="10"/>
        <color rgb="FFB36B00"/>
        <rFont val="Noto Sans KR"/>
        <family val="0"/>
        <charset val="1"/>
      </rPr>
      <t xml:space="preserve">· </t>
    </r>
    <r>
      <rPr>
        <b val="true"/>
        <sz val="10"/>
        <color rgb="FFB36B00"/>
        <rFont val="Noto Sans CJK SC"/>
        <family val="2"/>
      </rPr>
      <t xml:space="preserve">번들 </t>
    </r>
    <r>
      <rPr>
        <b val="true"/>
        <sz val="10"/>
        <color rgb="FFB36B00"/>
        <rFont val="Noto Sans KR"/>
        <family val="0"/>
        <charset val="1"/>
      </rPr>
      <t xml:space="preserve">· </t>
    </r>
    <r>
      <rPr>
        <b val="true"/>
        <sz val="10"/>
        <color rgb="FFB36B00"/>
        <rFont val="Noto Sans CJK SC"/>
        <family val="2"/>
      </rPr>
      <t xml:space="preserve">폐기 판단</t>
    </r>
  </si>
  <si>
    <r>
      <rPr>
        <sz val="9"/>
        <color rgb="FFB36B00"/>
        <rFont val="Noto Sans CJK SC"/>
        <family val="2"/>
      </rPr>
      <t xml:space="preserve">출처</t>
    </r>
    <r>
      <rPr>
        <sz val="9"/>
        <color rgb="FFB36B00"/>
        <rFont val="Noto Sans KR"/>
        <family val="0"/>
        <charset val="1"/>
      </rPr>
      <t xml:space="preserve">: </t>
    </r>
    <r>
      <rPr>
        <sz val="9"/>
        <color rgb="FFB36B00"/>
        <rFont val="Noto Sans CJK SC"/>
        <family val="2"/>
      </rPr>
      <t xml:space="preserve">악성재고 </t>
    </r>
    <r>
      <rPr>
        <sz val="9"/>
        <color rgb="FFB36B00"/>
        <rFont val="Noto Sans KR"/>
        <family val="0"/>
        <charset val="1"/>
      </rPr>
      <t xml:space="preserve">· </t>
    </r>
    <r>
      <rPr>
        <sz val="9"/>
        <color rgb="FFB36B00"/>
        <rFont val="Noto Sans CJK SC"/>
        <family val="2"/>
      </rPr>
      <t xml:space="preserve">정렬</t>
    </r>
    <r>
      <rPr>
        <sz val="9"/>
        <color rgb="FFB36B00"/>
        <rFont val="Noto Sans KR"/>
        <family val="0"/>
        <charset val="1"/>
      </rPr>
      <t xml:space="preserve">: </t>
    </r>
    <r>
      <rPr>
        <sz val="9"/>
        <color rgb="FFB36B00"/>
        <rFont val="Noto Sans CJK SC"/>
        <family val="2"/>
      </rPr>
      <t xml:space="preserve">재고평가금액 내림차순</t>
    </r>
  </si>
  <si>
    <r>
      <rPr>
        <sz val="10"/>
        <color rgb="FF333333"/>
        <rFont val="Noto Sans CJK SC"/>
        <family val="2"/>
      </rPr>
      <t xml:space="preserve">블랙윙 펄 </t>
    </r>
    <r>
      <rPr>
        <sz val="10"/>
        <color rgb="FF333333"/>
        <rFont val="Noto Sans KR"/>
        <family val="0"/>
        <charset val="1"/>
      </rPr>
      <t xml:space="preserve">(12</t>
    </r>
    <r>
      <rPr>
        <sz val="10"/>
        <color rgb="FF333333"/>
        <rFont val="Noto Sans CJK SC"/>
        <family val="2"/>
      </rPr>
      <t xml:space="preserve">본</t>
    </r>
    <r>
      <rPr>
        <sz val="10"/>
        <color rgb="FF333333"/>
        <rFont val="Noto Sans KR"/>
        <family val="0"/>
        <charset val="1"/>
      </rPr>
      <t xml:space="preserve">)</t>
    </r>
  </si>
  <si>
    <t xml:space="preserve">🔵 과잉</t>
  </si>
  <si>
    <t xml:space="preserve">단가 높음 — 우선 소진 대상</t>
  </si>
  <si>
    <t xml:space="preserve">단가 높음 — 폐기 전 프로모션 필수</t>
  </si>
  <si>
    <t xml:space="preserve">TRAVELER'S</t>
  </si>
  <si>
    <r>
      <rPr>
        <sz val="10"/>
        <color rgb="FF333333"/>
        <rFont val="Noto Sans CJK SC"/>
        <family val="2"/>
      </rPr>
      <t xml:space="preserve">트래블러스 리필 </t>
    </r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무지</t>
    </r>
  </si>
  <si>
    <t xml:space="preserve">노트북 본품과 번들 구성</t>
  </si>
  <si>
    <r>
      <rPr>
        <sz val="10"/>
        <color rgb="FF333333"/>
        <rFont val="Noto Sans CJK SC"/>
        <family val="2"/>
      </rPr>
      <t xml:space="preserve">아카이브 폴더 </t>
    </r>
    <r>
      <rPr>
        <sz val="10"/>
        <color rgb="FF333333"/>
        <rFont val="Noto Sans KR"/>
        <family val="0"/>
        <charset val="1"/>
      </rPr>
      <t xml:space="preserve">A4</t>
    </r>
  </si>
  <si>
    <t xml:space="preserve">프로모션 검토 — 아카이브 세트 구성</t>
  </si>
  <si>
    <r>
      <rPr>
        <sz val="10"/>
        <color rgb="FF333333"/>
        <rFont val="Noto Sans CJK SC"/>
        <family val="2"/>
      </rPr>
      <t xml:space="preserve">아카이브 폴더 </t>
    </r>
    <r>
      <rPr>
        <sz val="10"/>
        <color rgb="FF333333"/>
        <rFont val="Noto Sans KR"/>
        <family val="0"/>
        <charset val="1"/>
      </rPr>
      <t xml:space="preserve">A5</t>
    </r>
  </si>
  <si>
    <r>
      <rPr>
        <sz val="10"/>
        <color rgb="FF333333"/>
        <rFont val="Noto Sans CJK SC"/>
        <family val="2"/>
      </rPr>
      <t xml:space="preserve">에크리튜 잉크 </t>
    </r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세피아</t>
    </r>
  </si>
  <si>
    <r>
      <rPr>
        <sz val="10"/>
        <color rgb="FF333333"/>
        <rFont val="Noto Sans KR"/>
        <family val="0"/>
        <charset val="1"/>
      </rPr>
      <t xml:space="preserve">AE </t>
    </r>
    <r>
      <rPr>
        <sz val="10"/>
        <color rgb="FF333333"/>
        <rFont val="Noto Sans CJK SC"/>
        <family val="2"/>
      </rPr>
      <t xml:space="preserve">리뉴얼 시 단종 검토</t>
    </r>
  </si>
  <si>
    <r>
      <rPr>
        <sz val="10"/>
        <color rgb="FF333333"/>
        <rFont val="Noto Sans CJK SC"/>
        <family val="2"/>
      </rPr>
      <t xml:space="preserve">미도리 </t>
    </r>
    <r>
      <rPr>
        <sz val="10"/>
        <color rgb="FF333333"/>
        <rFont val="Noto Sans KR"/>
        <family val="0"/>
        <charset val="1"/>
      </rPr>
      <t xml:space="preserve">MD </t>
    </r>
    <r>
      <rPr>
        <sz val="10"/>
        <color rgb="FF333333"/>
        <rFont val="Noto Sans CJK SC"/>
        <family val="2"/>
      </rPr>
      <t xml:space="preserve">페이퍼패드</t>
    </r>
  </si>
  <si>
    <r>
      <rPr>
        <sz val="10"/>
        <color rgb="FF333333"/>
        <rFont val="Noto Sans KR"/>
        <family val="0"/>
        <charset val="1"/>
      </rPr>
      <t xml:space="preserve">MD </t>
    </r>
    <r>
      <rPr>
        <sz val="10"/>
        <color rgb="FF333333"/>
        <rFont val="Noto Sans CJK SC"/>
        <family val="2"/>
      </rPr>
      <t xml:space="preserve">시리즈 세트 편입</t>
    </r>
  </si>
  <si>
    <r>
      <rPr>
        <sz val="10"/>
        <color rgb="FF333333"/>
        <rFont val="Noto Sans CJK SC"/>
        <family val="2"/>
      </rPr>
      <t xml:space="preserve">오피스 클립 </t>
    </r>
    <r>
      <rPr>
        <sz val="10"/>
        <color rgb="FF333333"/>
        <rFont val="Noto Sans KR"/>
        <family val="0"/>
        <charset val="1"/>
      </rPr>
      <t xml:space="preserve">25mm</t>
    </r>
  </si>
  <si>
    <t xml:space="preserve">사무용 벌크 판매 검토</t>
  </si>
  <si>
    <t xml:space="preserve">크라프트 봉투 대</t>
  </si>
  <si>
    <t xml:space="preserve">포장자재로 내부 전용 전환</t>
  </si>
  <si>
    <r>
      <rPr>
        <b val="true"/>
        <sz val="10"/>
        <color rgb="FF999999"/>
        <rFont val="Noto Sans CJK SC"/>
        <family val="2"/>
      </rPr>
      <t xml:space="preserve">악성품절 — 단종 판단 — 상위 </t>
    </r>
    <r>
      <rPr>
        <b val="true"/>
        <sz val="10"/>
        <color rgb="FF999999"/>
        <rFont val="Noto Sans KR"/>
        <family val="0"/>
        <charset val="1"/>
      </rPr>
      <t xml:space="preserve">10 / </t>
    </r>
    <r>
      <rPr>
        <b val="true"/>
        <sz val="10"/>
        <color rgb="FF999999"/>
        <rFont val="Noto Sans CJK SC"/>
        <family val="2"/>
      </rPr>
      <t xml:space="preserve">전체 </t>
    </r>
    <r>
      <rPr>
        <b val="true"/>
        <sz val="10"/>
        <color rgb="FF999999"/>
        <rFont val="Noto Sans KR"/>
        <family val="0"/>
        <charset val="1"/>
      </rPr>
      <t xml:space="preserve">6</t>
    </r>
    <r>
      <rPr>
        <b val="true"/>
        <sz val="10"/>
        <color rgb="FF999999"/>
        <rFont val="Noto Sans CJK SC"/>
        <family val="2"/>
      </rPr>
      <t xml:space="preserve">개   →  재발주 여부 </t>
    </r>
    <r>
      <rPr>
        <b val="true"/>
        <sz val="10"/>
        <color rgb="FF999999"/>
        <rFont val="Noto Sans KR"/>
        <family val="0"/>
        <charset val="1"/>
      </rPr>
      <t xml:space="preserve">· </t>
    </r>
    <r>
      <rPr>
        <b val="true"/>
        <sz val="10"/>
        <color rgb="FF999999"/>
        <rFont val="Noto Sans CJK SC"/>
        <family val="2"/>
      </rPr>
      <t xml:space="preserve">단종 확정</t>
    </r>
  </si>
  <si>
    <r>
      <rPr>
        <sz val="9"/>
        <color rgb="FF999999"/>
        <rFont val="Noto Sans CJK SC"/>
        <family val="2"/>
      </rPr>
      <t xml:space="preserve">출처</t>
    </r>
    <r>
      <rPr>
        <sz val="9"/>
        <color rgb="FF999999"/>
        <rFont val="Noto Sans KR"/>
        <family val="0"/>
        <charset val="1"/>
      </rPr>
      <t xml:space="preserve">: </t>
    </r>
    <r>
      <rPr>
        <sz val="9"/>
        <color rgb="FF999999"/>
        <rFont val="Noto Sans CJK SC"/>
        <family val="2"/>
      </rPr>
      <t xml:space="preserve">악성품절 </t>
    </r>
    <r>
      <rPr>
        <sz val="9"/>
        <color rgb="FF999999"/>
        <rFont val="Noto Sans KR"/>
        <family val="0"/>
        <charset val="1"/>
      </rPr>
      <t xml:space="preserve">· </t>
    </r>
    <r>
      <rPr>
        <sz val="9"/>
        <color rgb="FF999999"/>
        <rFont val="Noto Sans CJK SC"/>
        <family val="2"/>
      </rPr>
      <t xml:space="preserve">정렬</t>
    </r>
    <r>
      <rPr>
        <sz val="9"/>
        <color rgb="FF999999"/>
        <rFont val="Noto Sans KR"/>
        <family val="0"/>
        <charset val="1"/>
      </rPr>
      <t xml:space="preserve">: </t>
    </r>
    <r>
      <rPr>
        <sz val="9"/>
        <color rgb="FF999999"/>
        <rFont val="Noto Sans CJK SC"/>
        <family val="2"/>
      </rPr>
      <t xml:space="preserve">미판매경과일 내림차순</t>
    </r>
  </si>
  <si>
    <r>
      <rPr>
        <sz val="10"/>
        <color rgb="FF999999"/>
        <rFont val="Noto Sans CJK SC"/>
        <family val="2"/>
      </rPr>
      <t xml:space="preserve">툴 트레이 </t>
    </r>
    <r>
      <rPr>
        <sz val="10"/>
        <color rgb="FF999999"/>
        <rFont val="Noto Sans KR"/>
        <family val="0"/>
        <charset val="1"/>
      </rPr>
      <t xml:space="preserve">· </t>
    </r>
    <r>
      <rPr>
        <sz val="10"/>
        <color rgb="FF999999"/>
        <rFont val="Noto Sans CJK SC"/>
        <family val="2"/>
      </rPr>
      <t xml:space="preserve">스틸</t>
    </r>
  </si>
  <si>
    <t xml:space="preserve">단종 확정 — 금형 폐기</t>
  </si>
  <si>
    <r>
      <rPr>
        <sz val="10"/>
        <color rgb="FF999999"/>
        <rFont val="Noto Sans CJK SC"/>
        <family val="2"/>
      </rPr>
      <t xml:space="preserve">로이히트툼 </t>
    </r>
    <r>
      <rPr>
        <sz val="10"/>
        <color rgb="FF999999"/>
        <rFont val="Noto Sans KR"/>
        <family val="0"/>
        <charset val="1"/>
      </rPr>
      <t xml:space="preserve">A5 </t>
    </r>
    <r>
      <rPr>
        <sz val="10"/>
        <color rgb="FF999999"/>
        <rFont val="Noto Sans CJK SC"/>
        <family val="2"/>
      </rPr>
      <t xml:space="preserve">도트</t>
    </r>
  </si>
  <si>
    <r>
      <rPr>
        <sz val="10"/>
        <color rgb="FF999999"/>
        <rFont val="Noto Sans KR"/>
        <family val="0"/>
        <charset val="1"/>
      </rPr>
      <t xml:space="preserve">A5 </t>
    </r>
    <r>
      <rPr>
        <sz val="10"/>
        <color rgb="FF999999"/>
        <rFont val="Noto Sans CJK SC"/>
        <family val="2"/>
      </rPr>
      <t xml:space="preserve">도트 → </t>
    </r>
    <r>
      <rPr>
        <sz val="10"/>
        <color rgb="FF999999"/>
        <rFont val="Noto Sans KR"/>
        <family val="0"/>
        <charset val="1"/>
      </rPr>
      <t xml:space="preserve">B5 </t>
    </r>
    <r>
      <rPr>
        <sz val="10"/>
        <color rgb="FF999999"/>
        <rFont val="Noto Sans CJK SC"/>
        <family val="2"/>
      </rPr>
      <t xml:space="preserve">라인으로 대체</t>
    </r>
  </si>
  <si>
    <r>
      <rPr>
        <sz val="10"/>
        <color rgb="FF999999"/>
        <rFont val="Noto Sans CJK SC"/>
        <family val="2"/>
      </rPr>
      <t xml:space="preserve">국내</t>
    </r>
    <r>
      <rPr>
        <sz val="10"/>
        <color rgb="FF999999"/>
        <rFont val="Noto Sans KR"/>
        <family val="0"/>
        <charset val="1"/>
      </rPr>
      <t xml:space="preserve">OEM</t>
    </r>
  </si>
  <si>
    <t xml:space="preserve">대형 봉투로 통합</t>
  </si>
  <si>
    <t xml:space="preserve">레터패드 세트에 포함 판매로 전환</t>
  </si>
  <si>
    <r>
      <rPr>
        <sz val="10"/>
        <color rgb="FF999999"/>
        <rFont val="Noto Sans CJK SC"/>
        <family val="2"/>
      </rPr>
      <t xml:space="preserve">팬텀 클립 </t>
    </r>
    <r>
      <rPr>
        <sz val="10"/>
        <color rgb="FF999999"/>
        <rFont val="Noto Sans KR"/>
        <family val="0"/>
        <charset val="1"/>
      </rPr>
      <t xml:space="preserve">· </t>
    </r>
    <r>
      <rPr>
        <sz val="10"/>
        <color rgb="FF999999"/>
        <rFont val="Noto Sans CJK SC"/>
        <family val="2"/>
      </rPr>
      <t xml:space="preserve">브라스</t>
    </r>
  </si>
  <si>
    <t xml:space="preserve">수입 중단 — 공급처 거래 종료</t>
  </si>
  <si>
    <r>
      <rPr>
        <sz val="10"/>
        <color rgb="FF999999"/>
        <rFont val="Noto Sans CJK SC"/>
        <family val="2"/>
      </rPr>
      <t xml:space="preserve">데스크 매트 </t>
    </r>
    <r>
      <rPr>
        <sz val="10"/>
        <color rgb="FF999999"/>
        <rFont val="Noto Sans KR"/>
        <family val="0"/>
        <charset val="1"/>
      </rPr>
      <t xml:space="preserve">· </t>
    </r>
    <r>
      <rPr>
        <sz val="10"/>
        <color rgb="FF999999"/>
        <rFont val="Noto Sans CJK SC"/>
        <family val="2"/>
      </rPr>
      <t xml:space="preserve">워시드블랙</t>
    </r>
  </si>
  <si>
    <t xml:space="preserve">제작 중단 — 리넨 원단 단종</t>
  </si>
  <si>
    <r>
      <rPr>
        <sz val="8"/>
        <color rgb="FF999999"/>
        <rFont val="Noto Sans CJK SC"/>
        <family val="2"/>
      </rPr>
      <t xml:space="preserve">※ 목업 안내 — </t>
    </r>
    <r>
      <rPr>
        <sz val="8"/>
        <color rgb="FF999999"/>
        <rFont val="Noto Sans KR"/>
        <family val="0"/>
        <charset val="1"/>
      </rPr>
      <t xml:space="preserve">Google Sheets</t>
    </r>
    <r>
      <rPr>
        <sz val="8"/>
        <color rgb="FF999999"/>
        <rFont val="Noto Sans CJK SC"/>
        <family val="2"/>
      </rPr>
      <t xml:space="preserve">에서는 각 블록이 </t>
    </r>
    <r>
      <rPr>
        <sz val="8"/>
        <color rgb="FF999999"/>
        <rFont val="Noto Sans KR"/>
        <family val="0"/>
        <charset val="1"/>
      </rPr>
      <t xml:space="preserve">QUERY </t>
    </r>
    <r>
      <rPr>
        <sz val="8"/>
        <color rgb="FF999999"/>
        <rFont val="Noto Sans CJK SC"/>
        <family val="2"/>
      </rPr>
      <t xml:space="preserve">수식 한 줄로 자동 생성됩니다</t>
    </r>
    <r>
      <rPr>
        <sz val="8"/>
        <color rgb="FF999999"/>
        <rFont val="Noto Sans KR"/>
        <family val="0"/>
        <charset val="1"/>
      </rPr>
      <t xml:space="preserve">. </t>
    </r>
    <r>
      <rPr>
        <sz val="8"/>
        <color rgb="FF999999"/>
        <rFont val="Noto Sans CJK SC"/>
        <family val="2"/>
      </rPr>
      <t xml:space="preserve">엑셀에는 </t>
    </r>
    <r>
      <rPr>
        <sz val="8"/>
        <color rgb="FF999999"/>
        <rFont val="Noto Sans KR"/>
        <family val="0"/>
        <charset val="1"/>
      </rPr>
      <t xml:space="preserve">QUERY</t>
    </r>
    <r>
      <rPr>
        <sz val="8"/>
        <color rgb="FF999999"/>
        <rFont val="Noto Sans CJK SC"/>
        <family val="2"/>
      </rPr>
      <t xml:space="preserve">가 없어 값으로 채웠습니다</t>
    </r>
    <r>
      <rPr>
        <sz val="8"/>
        <color rgb="FF999999"/>
        <rFont val="Noto Sans KR"/>
        <family val="0"/>
        <charset val="1"/>
      </rPr>
      <t xml:space="preserve">. RAW 3</t>
    </r>
    <r>
      <rPr>
        <sz val="8"/>
        <color rgb="FF999999"/>
        <rFont val="Noto Sans CJK SC"/>
        <family val="2"/>
      </rPr>
      <t xml:space="preserve">개 탭과 일별재고이력은 원본</t>
    </r>
    <r>
      <rPr>
        <sz val="8"/>
        <color rgb="FF999999"/>
        <rFont val="Noto Sans KR"/>
        <family val="0"/>
        <charset val="1"/>
      </rPr>
      <t xml:space="preserve">·</t>
    </r>
    <r>
      <rPr>
        <sz val="8"/>
        <color rgb="FF999999"/>
        <rFont val="Noto Sans CJK SC"/>
        <family val="2"/>
      </rPr>
      <t xml:space="preserve">계산용이라 대시보드에 올릴 목록이 없습니다</t>
    </r>
    <r>
      <rPr>
        <sz val="8"/>
        <color rgb="FF999999"/>
        <rFont val="Noto Sans KR"/>
        <family val="0"/>
        <charset val="1"/>
      </rPr>
      <t xml:space="preserve">.</t>
    </r>
  </si>
  <si>
    <t xml:space="preserve">창고별 재고를 보고 발주와 매장 간 이동을 결정합니다</t>
  </si>
  <si>
    <r>
      <rPr>
        <b val="true"/>
        <sz val="10"/>
        <color rgb="FF333333"/>
        <rFont val="Noto Sans CJK SC"/>
        <family val="2"/>
      </rPr>
      <t xml:space="preserve">전체 </t>
    </r>
    <r>
      <rPr>
        <b val="true"/>
        <sz val="10"/>
        <color rgb="FF333333"/>
        <rFont val="Noto Sans KR"/>
        <family val="0"/>
        <charset val="1"/>
      </rPr>
      <t xml:space="preserve">31</t>
    </r>
    <r>
      <rPr>
        <b val="true"/>
        <sz val="10"/>
        <color rgb="FF333333"/>
        <rFont val="Noto Sans CJK SC"/>
        <family val="2"/>
      </rPr>
      <t xml:space="preserve">개 — 🔴 </t>
    </r>
    <r>
      <rPr>
        <b val="true"/>
        <sz val="10"/>
        <color rgb="FF333333"/>
        <rFont val="Noto Sans KR"/>
        <family val="0"/>
        <charset val="1"/>
      </rPr>
      <t xml:space="preserve">10 · 🟠 4 · 🟡 3 · 🔵 3 · ⚫️ 1 · 🟢 10</t>
    </r>
  </si>
  <si>
    <t xml:space="preserve">품목코드</t>
  </si>
  <si>
    <r>
      <rPr>
        <b val="true"/>
        <sz val="10"/>
        <color rgb="FF222222"/>
        <rFont val="Noto Sans CJK SC"/>
        <family val="2"/>
      </rPr>
      <t xml:space="preserve">리드타임</t>
    </r>
    <r>
      <rPr>
        <b val="true"/>
        <sz val="10"/>
        <color rgb="FF222222"/>
        <rFont val="Noto Sans KR"/>
        <family val="0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일</t>
    </r>
    <r>
      <rPr>
        <b val="true"/>
        <sz val="10"/>
        <color rgb="FF222222"/>
        <rFont val="Noto Sans KR"/>
        <family val="0"/>
        <charset val="1"/>
      </rPr>
      <t xml:space="preserve">)</t>
    </r>
  </si>
  <si>
    <r>
      <rPr>
        <b val="true"/>
        <sz val="10"/>
        <color rgb="FF222222"/>
        <rFont val="Noto Sans KR"/>
        <family val="0"/>
        <charset val="1"/>
      </rPr>
      <t xml:space="preserve">POINT OF VIEW(</t>
    </r>
    <r>
      <rPr>
        <b val="true"/>
        <sz val="10"/>
        <color rgb="FF222222"/>
        <rFont val="Noto Sans CJK SC"/>
        <family val="2"/>
      </rPr>
      <t xml:space="preserve">법인</t>
    </r>
    <r>
      <rPr>
        <b val="true"/>
        <sz val="10"/>
        <color rgb="FF222222"/>
        <rFont val="Noto Sans KR"/>
        <family val="0"/>
        <charset val="1"/>
      </rPr>
      <t xml:space="preserve">)</t>
    </r>
  </si>
  <si>
    <t xml:space="preserve">THE HYUNDAI SEOUL</t>
  </si>
  <si>
    <r>
      <rPr>
        <b val="true"/>
        <sz val="10"/>
        <color rgb="FF222222"/>
        <rFont val="Noto Sans CJK SC"/>
        <family val="2"/>
      </rPr>
      <t xml:space="preserve">시시호시</t>
    </r>
    <r>
      <rPr>
        <b val="true"/>
        <sz val="10"/>
        <color rgb="FF222222"/>
        <rFont val="Noto Sans KR"/>
        <family val="0"/>
        <charset val="1"/>
      </rPr>
      <t xml:space="preserve">-</t>
    </r>
    <r>
      <rPr>
        <b val="true"/>
        <sz val="10"/>
        <color rgb="FF222222"/>
        <rFont val="Noto Sans CJK SC"/>
        <family val="2"/>
      </rPr>
      <t xml:space="preserve">수원점</t>
    </r>
  </si>
  <si>
    <r>
      <rPr>
        <b val="true"/>
        <sz val="10"/>
        <color rgb="FF222222"/>
        <rFont val="Noto Sans CJK SC"/>
        <family val="2"/>
      </rPr>
      <t xml:space="preserve">신세계 강남</t>
    </r>
    <r>
      <rPr>
        <b val="true"/>
        <sz val="10"/>
        <color rgb="FF222222"/>
        <rFont val="Noto Sans KR"/>
        <family val="0"/>
        <charset val="1"/>
      </rPr>
      <t xml:space="preserve">-</t>
    </r>
    <r>
      <rPr>
        <b val="true"/>
        <sz val="10"/>
        <color rgb="FF222222"/>
        <rFont val="Noto Sans CJK SC"/>
        <family val="2"/>
      </rPr>
      <t xml:space="preserve">피숀</t>
    </r>
  </si>
  <si>
    <t xml:space="preserve">전일재고</t>
  </si>
  <si>
    <t xml:space="preserve">입고</t>
  </si>
  <si>
    <t xml:space="preserve">출고</t>
  </si>
  <si>
    <t xml:space="preserve">메모</t>
  </si>
  <si>
    <t xml:space="preserve">PV-1001</t>
  </si>
  <si>
    <t xml:space="preserve">PV-1002</t>
  </si>
  <si>
    <t xml:space="preserve">PV-1010</t>
  </si>
  <si>
    <t xml:space="preserve">프로모션 검토 — 회전율 저조</t>
  </si>
  <si>
    <t xml:space="preserve">PV-1011</t>
  </si>
  <si>
    <t xml:space="preserve">PV-1020</t>
  </si>
  <si>
    <r>
      <rPr>
        <sz val="10"/>
        <color rgb="FF333333"/>
        <rFont val="Noto Sans KR"/>
        <family val="0"/>
        <charset val="1"/>
      </rPr>
      <t xml:space="preserve">7</t>
    </r>
    <r>
      <rPr>
        <sz val="10"/>
        <color rgb="FF333333"/>
        <rFont val="Noto Sans CJK SC"/>
        <family val="2"/>
      </rPr>
      <t xml:space="preserve">일 판매 </t>
    </r>
    <r>
      <rPr>
        <sz val="10"/>
        <color rgb="FF333333"/>
        <rFont val="Noto Sans KR"/>
        <family val="0"/>
        <charset val="1"/>
      </rPr>
      <t xml:space="preserve">0 — </t>
    </r>
    <r>
      <rPr>
        <sz val="10"/>
        <color rgb="FF333333"/>
        <rFont val="Noto Sans CJK SC"/>
        <family val="2"/>
      </rPr>
      <t xml:space="preserve">노출 점검 또는 정리 판단</t>
    </r>
  </si>
  <si>
    <t xml:space="preserve">AE-2001</t>
  </si>
  <si>
    <t xml:space="preserve">에크리튜 레터패드</t>
  </si>
  <si>
    <t xml:space="preserve">AE-2002</t>
  </si>
  <si>
    <t xml:space="preserve">AE-2010</t>
  </si>
  <si>
    <t xml:space="preserve">PV-1030</t>
  </si>
  <si>
    <t xml:space="preserve">PV-1031</t>
  </si>
  <si>
    <r>
      <rPr>
        <sz val="10"/>
        <color rgb="FF333333"/>
        <rFont val="Noto Sans CJK SC"/>
        <family val="2"/>
      </rPr>
      <t xml:space="preserve">🟠 품절</t>
    </r>
    <r>
      <rPr>
        <sz val="10"/>
        <color rgb="FF333333"/>
        <rFont val="Noto Sans KR"/>
        <family val="0"/>
        <charset val="1"/>
      </rPr>
      <t xml:space="preserve">-</t>
    </r>
    <r>
      <rPr>
        <sz val="10"/>
        <color rgb="FF333333"/>
        <rFont val="Noto Sans CJK SC"/>
        <family val="2"/>
      </rPr>
      <t xml:space="preserve">지속</t>
    </r>
  </si>
  <si>
    <t xml:space="preserve">PV-1040</t>
  </si>
  <si>
    <t xml:space="preserve">IM-3001</t>
  </si>
  <si>
    <t xml:space="preserve">IM-3002</t>
  </si>
  <si>
    <t xml:space="preserve">IM-3010</t>
  </si>
  <si>
    <r>
      <rPr>
        <sz val="10"/>
        <color rgb="FF333333"/>
        <rFont val="Noto Sans CJK SC"/>
        <family val="2"/>
      </rPr>
      <t xml:space="preserve">트래블러스 노트북 </t>
    </r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레귤러</t>
    </r>
  </si>
  <si>
    <t xml:space="preserve">IM-3011</t>
  </si>
  <si>
    <t xml:space="preserve">발주 중단 — 세트 구성으로 소진</t>
  </si>
  <si>
    <t xml:space="preserve">IM-3020</t>
  </si>
  <si>
    <t xml:space="preserve">IM-3021</t>
  </si>
  <si>
    <t xml:space="preserve">IM-3030</t>
  </si>
  <si>
    <t xml:space="preserve">IM-3040</t>
  </si>
  <si>
    <t xml:space="preserve">IM-3041</t>
  </si>
  <si>
    <t xml:space="preserve">IM-3050</t>
  </si>
  <si>
    <r>
      <rPr>
        <sz val="10"/>
        <color rgb="FF333333"/>
        <rFont val="Noto Sans CJK SC"/>
        <family val="2"/>
      </rPr>
      <t xml:space="preserve">⚫️ 품절</t>
    </r>
    <r>
      <rPr>
        <sz val="10"/>
        <color rgb="FF333333"/>
        <rFont val="Noto Sans KR"/>
        <family val="0"/>
        <charset val="1"/>
      </rPr>
      <t xml:space="preserve">-</t>
    </r>
    <r>
      <rPr>
        <sz val="10"/>
        <color rgb="FF333333"/>
        <rFont val="Noto Sans CJK SC"/>
        <family val="2"/>
      </rPr>
      <t xml:space="preserve">장기</t>
    </r>
  </si>
  <si>
    <t xml:space="preserve">IM-3060</t>
  </si>
  <si>
    <t xml:space="preserve">DM-4001</t>
  </si>
  <si>
    <t xml:space="preserve">DM-4002</t>
  </si>
  <si>
    <t xml:space="preserve">DM-4010</t>
  </si>
  <si>
    <t xml:space="preserve">DM-4020</t>
  </si>
  <si>
    <t xml:space="preserve">DM-4030</t>
  </si>
  <si>
    <r>
      <rPr>
        <sz val="10"/>
        <color rgb="FF333333"/>
        <rFont val="Noto Sans CJK SC"/>
        <family val="2"/>
      </rPr>
      <t xml:space="preserve">발주 중단 — 소진까지 </t>
    </r>
    <r>
      <rPr>
        <sz val="10"/>
        <color rgb="FF333333"/>
        <rFont val="Noto Sans KR"/>
        <family val="0"/>
        <charset val="1"/>
      </rPr>
      <t xml:space="preserve">42</t>
    </r>
    <r>
      <rPr>
        <sz val="10"/>
        <color rgb="FF333333"/>
        <rFont val="Noto Sans CJK SC"/>
        <family val="2"/>
      </rPr>
      <t xml:space="preserve">주</t>
    </r>
  </si>
  <si>
    <t xml:space="preserve">DM-4031</t>
  </si>
  <si>
    <t xml:space="preserve">DM-4040</t>
  </si>
  <si>
    <t xml:space="preserve">DM-4041</t>
  </si>
  <si>
    <r>
      <rPr>
        <sz val="10"/>
        <color rgb="FF333333"/>
        <rFont val="Noto Sans CJK SC"/>
        <family val="2"/>
      </rPr>
      <t xml:space="preserve">🔴 품절</t>
    </r>
    <r>
      <rPr>
        <sz val="10"/>
        <color rgb="FF333333"/>
        <rFont val="Noto Sans KR"/>
        <family val="0"/>
        <charset val="1"/>
      </rPr>
      <t xml:space="preserve">-</t>
    </r>
    <r>
      <rPr>
        <sz val="10"/>
        <color rgb="FF333333"/>
        <rFont val="Noto Sans CJK SC"/>
        <family val="2"/>
      </rPr>
      <t xml:space="preserve">신규</t>
    </r>
  </si>
  <si>
    <t xml:space="preserve">DM-4050</t>
  </si>
  <si>
    <r>
      <rPr>
        <b val="true"/>
        <sz val="10"/>
        <color rgb="FFFFFFFF"/>
        <rFont val="Noto Sans CJK SC"/>
        <family val="2"/>
      </rPr>
      <t xml:space="preserve">제작 발주가 필요한 품목만 모았습니다 </t>
    </r>
    <r>
      <rPr>
        <b val="true"/>
        <sz val="10"/>
        <color rgb="FFFFFFFF"/>
        <rFont val="Noto Sans KR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위에서부터 착수</t>
    </r>
  </si>
  <si>
    <r>
      <rPr>
        <b val="true"/>
        <sz val="10"/>
        <color rgb="FFCC0000"/>
        <rFont val="Noto Sans KR"/>
        <family val="0"/>
        <charset val="1"/>
      </rPr>
      <t xml:space="preserve">18</t>
    </r>
    <r>
      <rPr>
        <b val="true"/>
        <sz val="10"/>
        <color rgb="FFCC0000"/>
        <rFont val="Noto Sans CJK SC"/>
        <family val="2"/>
      </rPr>
      <t xml:space="preserve">개 — 초과주문 </t>
    </r>
    <r>
      <rPr>
        <b val="true"/>
        <sz val="10"/>
        <color rgb="FFCC0000"/>
        <rFont val="Noto Sans KR"/>
        <family val="0"/>
        <charset val="1"/>
      </rPr>
      <t xml:space="preserve">· </t>
    </r>
    <r>
      <rPr>
        <b val="true"/>
        <sz val="10"/>
        <color rgb="FFCC0000"/>
        <rFont val="Noto Sans CJK SC"/>
        <family val="2"/>
      </rPr>
      <t xml:space="preserve">품절 </t>
    </r>
    <r>
      <rPr>
        <b val="true"/>
        <sz val="10"/>
        <color rgb="FFCC0000"/>
        <rFont val="Noto Sans KR"/>
        <family val="0"/>
        <charset val="1"/>
      </rPr>
      <t xml:space="preserve">· DOI </t>
    </r>
    <r>
      <rPr>
        <b val="true"/>
        <sz val="10"/>
        <color rgb="FFCC0000"/>
        <rFont val="Noto Sans CJK SC"/>
        <family val="2"/>
      </rPr>
      <t xml:space="preserve">임계값 미만 </t>
    </r>
    <r>
      <rPr>
        <b val="true"/>
        <sz val="10"/>
        <color rgb="FFCC0000"/>
        <rFont val="Noto Sans KR"/>
        <family val="0"/>
        <charset val="1"/>
      </rPr>
      <t xml:space="preserve">· </t>
    </r>
    <r>
      <rPr>
        <b val="true"/>
        <sz val="10"/>
        <color rgb="FFCC0000"/>
        <rFont val="Noto Sans CJK SC"/>
        <family val="2"/>
      </rPr>
      <t xml:space="preserve">재고소량</t>
    </r>
  </si>
  <si>
    <r>
      <rPr>
        <sz val="9"/>
        <color rgb="FFCC0000"/>
        <rFont val="Noto Sans CJK SC"/>
        <family val="2"/>
      </rPr>
      <t xml:space="preserve">마지막 갱신</t>
    </r>
    <r>
      <rPr>
        <sz val="9"/>
        <color rgb="FFCC0000"/>
        <rFont val="Noto Sans KR"/>
        <family val="0"/>
        <charset val="1"/>
      </rPr>
      <t xml:space="preserve">: 2026-07-28 09:13</t>
    </r>
  </si>
  <si>
    <r>
      <rPr>
        <b val="true"/>
        <sz val="10"/>
        <color rgb="FF222222"/>
        <rFont val="Noto Sans KR"/>
        <family val="0"/>
        <charset val="1"/>
      </rPr>
      <t xml:space="preserve">90</t>
    </r>
    <r>
      <rPr>
        <b val="true"/>
        <sz val="10"/>
        <color rgb="FF222222"/>
        <rFont val="Noto Sans CJK SC"/>
        <family val="2"/>
      </rPr>
      <t xml:space="preserve">일 판매</t>
    </r>
  </si>
  <si>
    <r>
      <rPr>
        <b val="true"/>
        <sz val="10"/>
        <color rgb="FF222222"/>
        <rFont val="Noto Sans CJK SC"/>
        <family val="2"/>
      </rPr>
      <t xml:space="preserve">품절</t>
    </r>
    <r>
      <rPr>
        <b val="true"/>
        <sz val="10"/>
        <color rgb="FF222222"/>
        <rFont val="Noto Sans KR"/>
        <family val="0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일</t>
    </r>
    <r>
      <rPr>
        <b val="true"/>
        <sz val="10"/>
        <color rgb="FF222222"/>
        <rFont val="Noto Sans KR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</si>
  <si>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재고가 쌓여 돈이 묶인 품목입니다 </t>
    </r>
    <r>
      <rPr>
        <b val="true"/>
        <sz val="10"/>
        <color rgb="FFFFFFFF"/>
        <rFont val="Noto Sans KR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주간 검토</t>
    </r>
  </si>
  <si>
    <r>
      <rPr>
        <b val="true"/>
        <sz val="10"/>
        <color rgb="FFB36B00"/>
        <rFont val="Noto Sans KR"/>
        <family val="0"/>
        <charset val="1"/>
      </rPr>
      <t xml:space="preserve">10</t>
    </r>
    <r>
      <rPr>
        <b val="true"/>
        <sz val="10"/>
        <color rgb="FFB36B00"/>
        <rFont val="Noto Sans CJK SC"/>
        <family val="2"/>
      </rPr>
      <t xml:space="preserve">개 — 미판매 </t>
    </r>
    <r>
      <rPr>
        <b val="true"/>
        <sz val="10"/>
        <color rgb="FFB36B00"/>
        <rFont val="Noto Sans KR"/>
        <family val="0"/>
        <charset val="1"/>
      </rPr>
      <t xml:space="preserve">90</t>
    </r>
    <r>
      <rPr>
        <b val="true"/>
        <sz val="10"/>
        <color rgb="FFB36B00"/>
        <rFont val="Noto Sans CJK SC"/>
        <family val="2"/>
      </rPr>
      <t xml:space="preserve">일 이상 </t>
    </r>
    <r>
      <rPr>
        <b val="true"/>
        <sz val="10"/>
        <color rgb="FFB36B00"/>
        <rFont val="Noto Sans KR"/>
        <family val="0"/>
        <charset val="1"/>
      </rPr>
      <t xml:space="preserve">· </t>
    </r>
    <r>
      <rPr>
        <b val="true"/>
        <sz val="10"/>
        <color rgb="FFB36B00"/>
        <rFont val="Noto Sans CJK SC"/>
        <family val="2"/>
      </rPr>
      <t xml:space="preserve">재고금액 큰 순</t>
    </r>
  </si>
  <si>
    <r>
      <rPr>
        <sz val="9"/>
        <color rgb="FFB36B00"/>
        <rFont val="Noto Sans CJK SC"/>
        <family val="2"/>
      </rPr>
      <t xml:space="preserve">마지막 갱신</t>
    </r>
    <r>
      <rPr>
        <sz val="9"/>
        <color rgb="FFB36B00"/>
        <rFont val="Noto Sans KR"/>
        <family val="0"/>
        <charset val="1"/>
      </rPr>
      <t xml:space="preserve">: 2026-07-28 09:13</t>
    </r>
  </si>
  <si>
    <t xml:space="preserve">최근판매일</t>
  </si>
  <si>
    <r>
      <rPr>
        <b val="true"/>
        <sz val="10"/>
        <color rgb="FF222222"/>
        <rFont val="Noto Sans CJK SC"/>
        <family val="2"/>
      </rPr>
      <t xml:space="preserve">미판매</t>
    </r>
    <r>
      <rPr>
        <b val="true"/>
        <sz val="10"/>
        <color rgb="FF222222"/>
        <rFont val="Noto Sans KR"/>
        <family val="0"/>
        <charset val="1"/>
      </rPr>
      <t xml:space="preserve">(</t>
    </r>
    <r>
      <rPr>
        <b val="true"/>
        <sz val="10"/>
        <color rgb="FF222222"/>
        <rFont val="Noto Sans CJK SC"/>
        <family val="2"/>
      </rPr>
      <t xml:space="preserve">일</t>
    </r>
    <r>
      <rPr>
        <b val="true"/>
        <sz val="10"/>
        <color rgb="FF222222"/>
        <rFont val="Noto Sans KR"/>
        <family val="0"/>
        <charset val="1"/>
      </rPr>
      <t xml:space="preserve">)</t>
    </r>
  </si>
  <si>
    <t xml:space="preserve">입고단가</t>
  </si>
  <si>
    <r>
      <rPr>
        <b val="true"/>
        <sz val="10"/>
        <color rgb="FFFFFFFF"/>
        <rFont val="Noto Sans CJK SC"/>
        <family val="2"/>
      </rPr>
      <t xml:space="preserve">되살릴지 접을지 결정할 품목입니다 </t>
    </r>
    <r>
      <rPr>
        <b val="true"/>
        <sz val="10"/>
        <color rgb="FFFFFFFF"/>
        <rFont val="Noto Sans KR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월간 검토</t>
    </r>
  </si>
  <si>
    <r>
      <rPr>
        <b val="true"/>
        <sz val="10"/>
        <color rgb="FF999999"/>
        <rFont val="Noto Sans KR"/>
        <family val="0"/>
        <charset val="1"/>
      </rPr>
      <t xml:space="preserve">6</t>
    </r>
    <r>
      <rPr>
        <b val="true"/>
        <sz val="10"/>
        <color rgb="FF999999"/>
        <rFont val="Noto Sans CJK SC"/>
        <family val="2"/>
      </rPr>
      <t xml:space="preserve">개 — 재고 </t>
    </r>
    <r>
      <rPr>
        <b val="true"/>
        <sz val="10"/>
        <color rgb="FF999999"/>
        <rFont val="Noto Sans KR"/>
        <family val="0"/>
        <charset val="1"/>
      </rPr>
      <t xml:space="preserve">0 · </t>
    </r>
    <r>
      <rPr>
        <b val="true"/>
        <sz val="10"/>
        <color rgb="FF999999"/>
        <rFont val="Noto Sans CJK SC"/>
        <family val="2"/>
      </rPr>
      <t xml:space="preserve">미판매 </t>
    </r>
    <r>
      <rPr>
        <b val="true"/>
        <sz val="10"/>
        <color rgb="FF999999"/>
        <rFont val="Noto Sans KR"/>
        <family val="0"/>
        <charset val="1"/>
      </rPr>
      <t xml:space="preserve">90</t>
    </r>
    <r>
      <rPr>
        <b val="true"/>
        <sz val="10"/>
        <color rgb="FF999999"/>
        <rFont val="Noto Sans CJK SC"/>
        <family val="2"/>
      </rPr>
      <t xml:space="preserve">일 이상</t>
    </r>
  </si>
  <si>
    <r>
      <rPr>
        <sz val="9"/>
        <color rgb="FF999999"/>
        <rFont val="Noto Sans CJK SC"/>
        <family val="2"/>
      </rPr>
      <t xml:space="preserve">마지막 갱신</t>
    </r>
    <r>
      <rPr>
        <sz val="9"/>
        <color rgb="FF999999"/>
        <rFont val="Noto Sans KR"/>
        <family val="0"/>
        <charset val="1"/>
      </rPr>
      <t xml:space="preserve">: 2026-07-28 09:13</t>
    </r>
  </si>
  <si>
    <t xml:space="preserve">슬랙으로 받을 목록과 브랜드를 여기서 켜고 끕니다</t>
  </si>
  <si>
    <r>
      <rPr>
        <b val="true"/>
        <sz val="10"/>
        <color rgb="FFB35C00"/>
        <rFont val="Noto Sans CJK SC"/>
        <family val="2"/>
      </rPr>
      <t xml:space="preserve">사람이 쓰고 스크립트가 읽습니다 </t>
    </r>
    <r>
      <rPr>
        <b val="true"/>
        <sz val="10"/>
        <color rgb="FFB35C00"/>
        <rFont val="Noto Sans KR"/>
        <family val="0"/>
        <charset val="1"/>
      </rPr>
      <t xml:space="preserve">· </t>
    </r>
    <r>
      <rPr>
        <b val="true"/>
        <sz val="10"/>
        <color rgb="FFB35C00"/>
        <rFont val="Noto Sans CJK SC"/>
        <family val="2"/>
      </rPr>
      <t xml:space="preserve">갱신해도 덮어쓰지 않습니다</t>
    </r>
  </si>
  <si>
    <r>
      <rPr>
        <sz val="9"/>
        <color rgb="FFB35C00"/>
        <rFont val="Noto Sans CJK SC"/>
        <family val="2"/>
      </rPr>
      <t xml:space="preserve">마지막 갱신</t>
    </r>
    <r>
      <rPr>
        <sz val="9"/>
        <color rgb="FFB35C00"/>
        <rFont val="Noto Sans KR"/>
        <family val="0"/>
        <charset val="1"/>
      </rPr>
      <t xml:space="preserve">: 2026-07-28 09:13</t>
    </r>
  </si>
  <si>
    <t xml:space="preserve">① 목록 알림 — 어떤 리스트를 매일 보낼지</t>
  </si>
  <si>
    <t xml:space="preserve">오늘 조치 필요</t>
  </si>
  <si>
    <r>
      <rPr>
        <sz val="10"/>
        <color rgb="FF333333"/>
        <rFont val="Noto Sans CJK SC"/>
        <family val="2"/>
      </rPr>
      <t xml:space="preserve">디자인팀</t>
    </r>
    <r>
      <rPr>
        <sz val="10"/>
        <color rgb="FF333333"/>
        <rFont val="Noto Sans KR"/>
        <family val="0"/>
        <charset val="1"/>
      </rPr>
      <t xml:space="preserve">_</t>
    </r>
    <r>
      <rPr>
        <sz val="10"/>
        <color rgb="FF333333"/>
        <rFont val="Noto Sans CJK SC"/>
        <family val="2"/>
      </rPr>
      <t xml:space="preserve">발주필요</t>
    </r>
  </si>
  <si>
    <t xml:space="preserve">Y</t>
  </si>
  <si>
    <t xml:space="preserve">09:00</t>
  </si>
  <si>
    <r>
      <rPr>
        <sz val="10"/>
        <color rgb="FF333333"/>
        <rFont val="Noto Sans KR"/>
        <family val="0"/>
        <charset val="1"/>
      </rPr>
      <t xml:space="preserve">#pov-</t>
    </r>
    <r>
      <rPr>
        <sz val="10"/>
        <color rgb="FF333333"/>
        <rFont val="Noto Sans CJK SC"/>
        <family val="2"/>
      </rPr>
      <t xml:space="preserve">재고알림</t>
    </r>
  </si>
  <si>
    <r>
      <rPr>
        <sz val="10"/>
        <color rgb="FF333333"/>
        <rFont val="Noto Sans KR"/>
        <family val="0"/>
        <charset val="1"/>
      </rPr>
      <t xml:space="preserve">3</t>
    </r>
    <r>
      <rPr>
        <sz val="10"/>
        <color rgb="FF333333"/>
        <rFont val="Noto Sans CJK SC"/>
        <family val="2"/>
      </rPr>
      <t xml:space="preserve">일 이상 품절</t>
    </r>
  </si>
  <si>
    <t xml:space="preserve">창고이동 검토</t>
  </si>
  <si>
    <r>
      <rPr>
        <sz val="10"/>
        <color rgb="FF333333"/>
        <rFont val="Noto Sans CJK SC"/>
        <family val="2"/>
      </rPr>
      <t xml:space="preserve">관리팀</t>
    </r>
    <r>
      <rPr>
        <sz val="10"/>
        <color rgb="FF333333"/>
        <rFont val="Noto Sans KR"/>
        <family val="0"/>
        <charset val="1"/>
      </rPr>
      <t xml:space="preserve">_</t>
    </r>
    <r>
      <rPr>
        <sz val="10"/>
        <color rgb="FF333333"/>
        <rFont val="Noto Sans CJK SC"/>
        <family val="2"/>
      </rPr>
      <t xml:space="preserve">전체재고</t>
    </r>
  </si>
  <si>
    <t xml:space="preserve">판매 속도 상위</t>
  </si>
  <si>
    <t xml:space="preserve">N</t>
  </si>
  <si>
    <r>
      <rPr>
        <sz val="10"/>
        <color rgb="FF333333"/>
        <rFont val="Noto Sans CJK SC"/>
        <family val="2"/>
      </rPr>
      <t xml:space="preserve">주 </t>
    </r>
    <r>
      <rPr>
        <sz val="10"/>
        <color rgb="FF333333"/>
        <rFont val="Noto Sans KR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회로 충분</t>
    </r>
  </si>
  <si>
    <t xml:space="preserve">악성재고 정리</t>
  </si>
  <si>
    <r>
      <rPr>
        <sz val="10"/>
        <color rgb="FF333333"/>
        <rFont val="Noto Sans CJK SC"/>
        <family val="2"/>
      </rPr>
      <t xml:space="preserve">월요일 </t>
    </r>
    <r>
      <rPr>
        <sz val="10"/>
        <color rgb="FF333333"/>
        <rFont val="Noto Sans KR"/>
        <family val="0"/>
        <charset val="1"/>
      </rPr>
      <t xml:space="preserve">10:00</t>
    </r>
  </si>
  <si>
    <r>
      <rPr>
        <sz val="10"/>
        <color rgb="FF333333"/>
        <rFont val="Noto Sans KR"/>
        <family val="0"/>
        <charset val="1"/>
      </rPr>
      <t xml:space="preserve">#pov-</t>
    </r>
    <r>
      <rPr>
        <sz val="10"/>
        <color rgb="FF333333"/>
        <rFont val="Noto Sans CJK SC"/>
        <family val="2"/>
      </rPr>
      <t xml:space="preserve">관리팀</t>
    </r>
  </si>
  <si>
    <t xml:space="preserve">주간 발송</t>
  </si>
  <si>
    <t xml:space="preserve">악성품절 단종 판단</t>
  </si>
  <si>
    <r>
      <rPr>
        <sz val="10"/>
        <color rgb="FF333333"/>
        <rFont val="Noto Sans KR"/>
        <family val="0"/>
        <charset val="1"/>
      </rPr>
      <t xml:space="preserve">1</t>
    </r>
    <r>
      <rPr>
        <sz val="10"/>
        <color rgb="FF333333"/>
        <rFont val="Noto Sans CJK SC"/>
        <family val="2"/>
      </rPr>
      <t xml:space="preserve">일 </t>
    </r>
    <r>
      <rPr>
        <sz val="10"/>
        <color rgb="FF333333"/>
        <rFont val="Noto Sans KR"/>
        <family val="0"/>
        <charset val="1"/>
      </rPr>
      <t xml:space="preserve">10:00</t>
    </r>
  </si>
  <si>
    <t xml:space="preserve">월간 발송</t>
  </si>
  <si>
    <t xml:space="preserve">② 브랜드 지정 알림 — 특정 브랜드만 따로 받아볼 담당자용</t>
  </si>
  <si>
    <t xml:space="preserve">브랜드코드</t>
  </si>
  <si>
    <t xml:space="preserve">발송</t>
  </si>
  <si>
    <t xml:space="preserve">대상 상태</t>
  </si>
  <si>
    <t xml:space="preserve">슬랙 채널</t>
  </si>
  <si>
    <t xml:space="preserve">PV</t>
  </si>
  <si>
    <r>
      <rPr>
        <sz val="10"/>
        <color rgb="FF333333"/>
        <rFont val="Noto Sans CJK SC"/>
        <family val="2"/>
      </rPr>
      <t xml:space="preserve">위험 </t>
    </r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품절</t>
    </r>
    <r>
      <rPr>
        <sz val="10"/>
        <color rgb="FF333333"/>
        <rFont val="Noto Sans KR"/>
        <family val="0"/>
        <charset val="1"/>
      </rPr>
      <t xml:space="preserve">-</t>
    </r>
    <r>
      <rPr>
        <sz val="10"/>
        <color rgb="FF333333"/>
        <rFont val="Noto Sans CJK SC"/>
        <family val="2"/>
      </rPr>
      <t xml:space="preserve">신규 </t>
    </r>
    <r>
      <rPr>
        <sz val="10"/>
        <color rgb="FF333333"/>
        <rFont val="Noto Sans KR"/>
        <family val="0"/>
        <charset val="1"/>
      </rPr>
      <t xml:space="preserve">· </t>
    </r>
    <r>
      <rPr>
        <sz val="10"/>
        <color rgb="FF333333"/>
        <rFont val="Noto Sans CJK SC"/>
        <family val="2"/>
      </rPr>
      <t xml:space="preserve">초과주문</t>
    </r>
  </si>
  <si>
    <t xml:space="preserve">KW</t>
  </si>
  <si>
    <t xml:space="preserve">TR</t>
  </si>
  <si>
    <t xml:space="preserve">BW</t>
  </si>
  <si>
    <t xml:space="preserve">LT</t>
  </si>
  <si>
    <t xml:space="preserve">MD</t>
  </si>
  <si>
    <t xml:space="preserve">HT</t>
  </si>
  <si>
    <t xml:space="preserve">MN</t>
  </si>
  <si>
    <t xml:space="preserve">AM</t>
  </si>
  <si>
    <t xml:space="preserve">JN</t>
  </si>
  <si>
    <t xml:space="preserve">OE</t>
  </si>
  <si>
    <r>
      <rPr>
        <sz val="8"/>
        <color rgb="FF999999"/>
        <rFont val="Noto Sans CJK SC"/>
        <family val="2"/>
      </rPr>
      <t xml:space="preserve">※ 이 탭은 스크립트가 덮어쓰지 않습니다</t>
    </r>
    <r>
      <rPr>
        <sz val="8"/>
        <color rgb="FF999999"/>
        <rFont val="Noto Sans KR"/>
        <family val="0"/>
        <charset val="1"/>
      </rPr>
      <t xml:space="preserve">. </t>
    </r>
    <r>
      <rPr>
        <sz val="8"/>
        <color rgb="FF999999"/>
        <rFont val="Noto Sans CJK SC"/>
        <family val="2"/>
      </rPr>
      <t xml:space="preserve">발송 여부</t>
    </r>
    <r>
      <rPr>
        <sz val="8"/>
        <color rgb="FF999999"/>
        <rFont val="Noto Sans KR"/>
        <family val="0"/>
        <charset val="1"/>
      </rPr>
      <t xml:space="preserve">·</t>
    </r>
    <r>
      <rPr>
        <sz val="8"/>
        <color rgb="FF999999"/>
        <rFont val="Noto Sans CJK SC"/>
        <family val="2"/>
      </rPr>
      <t xml:space="preserve">상한</t>
    </r>
    <r>
      <rPr>
        <sz val="8"/>
        <color rgb="FF999999"/>
        <rFont val="Noto Sans KR"/>
        <family val="0"/>
        <charset val="1"/>
      </rPr>
      <t xml:space="preserve">·</t>
    </r>
    <r>
      <rPr>
        <sz val="8"/>
        <color rgb="FF999999"/>
        <rFont val="Noto Sans CJK SC"/>
        <family val="2"/>
      </rPr>
      <t xml:space="preserve">시각</t>
    </r>
    <r>
      <rPr>
        <sz val="8"/>
        <color rgb="FF999999"/>
        <rFont val="Noto Sans KR"/>
        <family val="0"/>
        <charset val="1"/>
      </rPr>
      <t xml:space="preserve">·</t>
    </r>
    <r>
      <rPr>
        <sz val="8"/>
        <color rgb="FF999999"/>
        <rFont val="Noto Sans CJK SC"/>
        <family val="2"/>
      </rPr>
      <t xml:space="preserve">채널은 담당자가 직접 수정하고</t>
    </r>
    <r>
      <rPr>
        <sz val="8"/>
        <color rgb="FF999999"/>
        <rFont val="Noto Sans KR"/>
        <family val="0"/>
        <charset val="1"/>
      </rPr>
      <t xml:space="preserve">, </t>
    </r>
    <r>
      <rPr>
        <sz val="8"/>
        <color rgb="FF999999"/>
        <rFont val="Noto Sans CJK SC"/>
        <family val="2"/>
      </rPr>
      <t xml:space="preserve">스크립트는 매일 실행될 때 이 값을 읽어 슬랙 발송을 결정합니다</t>
    </r>
    <r>
      <rPr>
        <sz val="8"/>
        <color rgb="FF999999"/>
        <rFont val="Noto Sans KR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</si>
  <si>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모든 상태 판정이 여기서 나옵니다 </t>
    </r>
    <r>
      <rPr>
        <b val="true"/>
        <sz val="10"/>
        <color rgb="FFFFFFFF"/>
        <rFont val="Noto Sans KR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직접 수정 금지</t>
    </r>
  </si>
  <si>
    <t xml:space="preserve">품목당 하루 한 행씩 누적</t>
  </si>
  <si>
    <t xml:space="preserve">날짜</t>
  </si>
  <si>
    <t xml:space="preserve">신상품이 생기면 여기에 추가합니다</t>
  </si>
  <si>
    <r>
      <rPr>
        <b val="true"/>
        <sz val="10"/>
        <color rgb="FF999999"/>
        <rFont val="Noto Sans CJK SC"/>
        <family val="2"/>
      </rPr>
      <t xml:space="preserve">사람이 쓰고 스크립트가 읽습니다 </t>
    </r>
    <r>
      <rPr>
        <b val="true"/>
        <sz val="10"/>
        <color rgb="FF999999"/>
        <rFont val="Noto Sans KR"/>
        <family val="0"/>
        <charset val="1"/>
      </rPr>
      <t xml:space="preserve">· </t>
    </r>
    <r>
      <rPr>
        <b val="true"/>
        <sz val="10"/>
        <color rgb="FF999999"/>
        <rFont val="Noto Sans CJK SC"/>
        <family val="2"/>
      </rPr>
      <t xml:space="preserve">갱신해도 덮어쓰지 않습니다</t>
    </r>
  </si>
  <si>
    <t xml:space="preserve">갱신일</t>
  </si>
  <si>
    <r>
      <rPr>
        <b val="true"/>
        <sz val="10"/>
        <color rgb="FFFFFFFF"/>
        <rFont val="Noto Sans CJK SC"/>
        <family val="2"/>
      </rPr>
      <t xml:space="preserve">이카운트 재고 원본입니다 </t>
    </r>
    <r>
      <rPr>
        <b val="true"/>
        <sz val="10"/>
        <color rgb="FFFFFFFF"/>
        <rFont val="Noto Sans KR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직접 수정 금지</t>
    </r>
  </si>
  <si>
    <t xml:space="preserve">총재고와 창고별 수치가 전부 여기서 나옵니다</t>
  </si>
  <si>
    <t xml:space="preserve">창고코드</t>
  </si>
  <si>
    <t xml:space="preserve">창고명</t>
  </si>
  <si>
    <t xml:space="preserve">사이즈</t>
  </si>
  <si>
    <t xml:space="preserve">W01</t>
  </si>
  <si>
    <r>
      <rPr>
        <sz val="10"/>
        <color rgb="FF333333"/>
        <rFont val="Noto Sans KR"/>
        <family val="0"/>
        <charset val="1"/>
      </rPr>
      <t xml:space="preserve">POINT OF VIEW(</t>
    </r>
    <r>
      <rPr>
        <sz val="10"/>
        <color rgb="FF333333"/>
        <rFont val="Noto Sans CJK SC"/>
        <family val="2"/>
      </rPr>
      <t xml:space="preserve">법인</t>
    </r>
    <r>
      <rPr>
        <sz val="10"/>
        <color rgb="FF333333"/>
        <rFont val="Noto Sans KR"/>
        <family val="0"/>
        <charset val="1"/>
      </rPr>
      <t xml:space="preserve">)</t>
    </r>
  </si>
  <si>
    <t xml:space="preserve">-</t>
  </si>
  <si>
    <t xml:space="preserve">W02</t>
  </si>
  <si>
    <t xml:space="preserve">W03</t>
  </si>
  <si>
    <r>
      <rPr>
        <sz val="10"/>
        <color rgb="FF333333"/>
        <rFont val="Noto Sans CJK SC"/>
        <family val="2"/>
      </rPr>
      <t xml:space="preserve">시시호시</t>
    </r>
    <r>
      <rPr>
        <sz val="10"/>
        <color rgb="FF333333"/>
        <rFont val="Noto Sans KR"/>
        <family val="0"/>
        <charset val="1"/>
      </rPr>
      <t xml:space="preserve">-</t>
    </r>
    <r>
      <rPr>
        <sz val="10"/>
        <color rgb="FF333333"/>
        <rFont val="Noto Sans CJK SC"/>
        <family val="2"/>
      </rPr>
      <t xml:space="preserve">수원점</t>
    </r>
  </si>
  <si>
    <t xml:space="preserve">W04</t>
  </si>
  <si>
    <r>
      <rPr>
        <sz val="10"/>
        <color rgb="FF333333"/>
        <rFont val="Noto Sans CJK SC"/>
        <family val="2"/>
      </rPr>
      <t xml:space="preserve">신세계 강남</t>
    </r>
    <r>
      <rPr>
        <sz val="10"/>
        <color rgb="FF333333"/>
        <rFont val="Noto Sans KR"/>
        <family val="0"/>
        <charset val="1"/>
      </rPr>
      <t xml:space="preserve">-</t>
    </r>
    <r>
      <rPr>
        <sz val="10"/>
        <color rgb="FF333333"/>
        <rFont val="Noto Sans CJK SC"/>
        <family val="2"/>
      </rPr>
      <t xml:space="preserve">피숀</t>
    </r>
  </si>
  <si>
    <r>
      <rPr>
        <b val="true"/>
        <sz val="10"/>
        <color rgb="FFFFFFFF"/>
        <rFont val="Noto Sans CJK SC"/>
        <family val="2"/>
      </rPr>
      <t xml:space="preserve">이카운트 판매 원본입니다 </t>
    </r>
    <r>
      <rPr>
        <b val="true"/>
        <sz val="10"/>
        <color rgb="FFFFFFFF"/>
        <rFont val="Noto Sans KR"/>
        <family val="0"/>
        <charset val="1"/>
      </rPr>
      <t xml:space="preserve">· </t>
    </r>
    <r>
      <rPr>
        <b val="true"/>
        <sz val="10"/>
        <color rgb="FFFFFFFF"/>
        <rFont val="Noto Sans CJK SC"/>
        <family val="2"/>
      </rPr>
      <t xml:space="preserve">직접 수정 금지</t>
    </r>
  </si>
  <si>
    <r>
      <rPr>
        <b val="true"/>
        <sz val="10"/>
        <color rgb="FF999999"/>
        <rFont val="Noto Sans CJK SC"/>
        <family val="2"/>
      </rPr>
      <t xml:space="preserve">전일 판매 전표 </t>
    </r>
    <r>
      <rPr>
        <b val="true"/>
        <sz val="10"/>
        <color rgb="FF999999"/>
        <rFont val="Noto Sans KR"/>
        <family val="0"/>
        <charset val="1"/>
      </rPr>
      <t xml:space="preserve">· DOI </t>
    </r>
    <r>
      <rPr>
        <b val="true"/>
        <sz val="10"/>
        <color rgb="FF999999"/>
        <rFont val="Noto Sans CJK SC"/>
        <family val="2"/>
      </rPr>
      <t xml:space="preserve">계산의 분모</t>
    </r>
  </si>
  <si>
    <t xml:space="preserve">품명</t>
  </si>
  <si>
    <t xml:space="preserve">수량</t>
  </si>
  <si>
    <t xml:space="preserve">단가</t>
  </si>
  <si>
    <t xml:space="preserve">공급가액</t>
  </si>
  <si>
    <t xml:space="preserve">부가세</t>
  </si>
  <si>
    <t xml:space="preserve">합계</t>
  </si>
  <si>
    <t xml:space="preserve">적요</t>
  </si>
  <si>
    <r>
      <rPr>
        <sz val="10"/>
        <color rgb="FF333333"/>
        <rFont val="Noto Sans KR"/>
        <family val="0"/>
        <charset val="1"/>
      </rPr>
      <t xml:space="preserve">POS </t>
    </r>
    <r>
      <rPr>
        <sz val="10"/>
        <color rgb="FF333333"/>
        <rFont val="Noto Sans CJK SC"/>
        <family val="2"/>
      </rPr>
      <t xml:space="preserve">판매</t>
    </r>
  </si>
  <si>
    <t xml:space="preserve">김서연</t>
  </si>
  <si>
    <t xml:space="preserve">박지훈</t>
  </si>
  <si>
    <t xml:space="preserve">이하늘</t>
  </si>
  <si>
    <t xml:space="preserve">정민아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</si>
</sst>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;\-#,##0;\–"/>
    <numFmt numFmtId="166" formatCode="0\일;;\–"/>
    <numFmt numFmtId="167" formatCode="#,##0\원;;\–"/>
    <numFmt numFmtId="168" formatCode="yyyy\-mm\-dd"/>
  </numFmts>
  <fonts count="3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Noto Sans CJK SC"/>
      <family val="2"/>
    </font>
    <font>
      <b val="true"/>
      <sz val="10"/>
      <color rgb="FF333333"/>
      <name val="Noto Sans CJK SC"/>
      <family val="2"/>
    </font>
    <font>
      <b val="true"/>
      <sz val="10"/>
      <color rgb="FF333333"/>
      <name val="Noto Sans KR"/>
      <family val="0"/>
      <charset val="1"/>
    </font>
    <font>
      <sz val="9"/>
      <color rgb="FF333333"/>
      <name val="Noto Sans CJK SC"/>
      <family val="2"/>
    </font>
    <font>
      <sz val="9"/>
      <color rgb="FF333333"/>
      <name val="Noto Sans KR"/>
      <family val="0"/>
      <charset val="1"/>
    </font>
    <font>
      <b val="true"/>
      <sz val="10"/>
      <color rgb="FF222222"/>
      <name val="Noto Sans KR"/>
      <family val="0"/>
      <charset val="1"/>
    </font>
    <font>
      <sz val="10"/>
      <color rgb="FF333333"/>
      <name val="Noto Sans CJK SC"/>
      <family val="2"/>
    </font>
    <font>
      <sz val="10"/>
      <color rgb="FF333333"/>
      <name val="Noto Sans KR"/>
      <family val="0"/>
      <charset val="1"/>
    </font>
    <font>
      <b val="true"/>
      <sz val="10"/>
      <color rgb="FF222222"/>
      <name val="Noto Sans CJK SC"/>
      <family val="2"/>
    </font>
    <font>
      <b val="true"/>
      <sz val="10"/>
      <color rgb="FF999999"/>
      <name val="Noto Sans CJK SC"/>
      <family val="2"/>
    </font>
    <font>
      <sz val="10"/>
      <color rgb="FF999999"/>
      <name val="Noto Sans KR"/>
      <family val="0"/>
      <charset val="1"/>
    </font>
    <font>
      <sz val="10"/>
      <color rgb="FF999999"/>
      <name val="Noto Sans CJK SC"/>
      <family val="2"/>
    </font>
    <font>
      <b val="true"/>
      <sz val="10"/>
      <color rgb="FF999999"/>
      <name val="Noto Sans KR"/>
      <family val="0"/>
      <charset val="1"/>
    </font>
    <font>
      <b val="true"/>
      <sz val="10"/>
      <color rgb="FFCC0000"/>
      <name val="Noto Sans KR"/>
      <family val="0"/>
      <charset val="1"/>
    </font>
    <font>
      <b val="true"/>
      <sz val="10"/>
      <color rgb="FFCC0000"/>
      <name val="Noto Sans CJK SC"/>
      <family val="2"/>
    </font>
    <font>
      <b val="true"/>
      <sz val="10"/>
      <color rgb="FFB35C00"/>
      <name val="Noto Sans KR"/>
      <family val="0"/>
      <charset val="1"/>
    </font>
    <font>
      <b val="true"/>
      <sz val="10"/>
      <color rgb="FFB35C00"/>
      <name val="Noto Sans CJK SC"/>
      <family val="2"/>
    </font>
    <font>
      <b val="true"/>
      <sz val="10"/>
      <color rgb="FFB36B00"/>
      <name val="Noto Sans KR"/>
      <family val="0"/>
      <charset val="1"/>
    </font>
    <font>
      <b val="true"/>
      <sz val="10"/>
      <color rgb="FFB36B00"/>
      <name val="Noto Sans CJK SC"/>
      <family val="2"/>
    </font>
    <font>
      <b val="true"/>
      <sz val="10"/>
      <color rgb="FF1565C0"/>
      <name val="Noto Sans KR"/>
      <family val="0"/>
      <charset val="1"/>
    </font>
    <font>
      <b val="true"/>
      <sz val="10"/>
      <color rgb="FF1565C0"/>
      <name val="Noto Sans CJK SC"/>
      <family val="2"/>
    </font>
    <font>
      <b val="true"/>
      <sz val="10"/>
      <color rgb="FFFFFFFF"/>
      <name val="Noto Sans KR"/>
      <family val="0"/>
      <charset val="1"/>
    </font>
    <font>
      <sz val="9"/>
      <color rgb="FFCC0000"/>
      <name val="Noto Sans CJK SC"/>
      <family val="2"/>
    </font>
    <font>
      <sz val="9"/>
      <color rgb="FFCC0000"/>
      <name val="Noto Sans KR"/>
      <family val="0"/>
      <charset val="1"/>
    </font>
    <font>
      <sz val="10"/>
      <color rgb="FF333333"/>
      <name val="Roboto Mono"/>
      <family val="0"/>
      <charset val="1"/>
    </font>
    <font>
      <sz val="9"/>
      <color rgb="FFB36B00"/>
      <name val="Noto Sans CJK SC"/>
      <family val="2"/>
    </font>
    <font>
      <sz val="9"/>
      <color rgb="FFB36B00"/>
      <name val="Noto Sans KR"/>
      <family val="0"/>
      <charset val="1"/>
    </font>
    <font>
      <sz val="9"/>
      <color rgb="FFB35C00"/>
      <name val="Noto Sans CJK SC"/>
      <family val="2"/>
    </font>
    <font>
      <sz val="9"/>
      <color rgb="FFB35C00"/>
      <name val="Noto Sans KR"/>
      <family val="0"/>
      <charset val="1"/>
    </font>
    <font>
      <sz val="9"/>
      <color rgb="FF999999"/>
      <name val="Noto Sans CJK SC"/>
      <family val="2"/>
    </font>
    <font>
      <sz val="9"/>
      <color rgb="FF999999"/>
      <name val="Noto Sans KR"/>
      <family val="0"/>
      <charset val="1"/>
    </font>
    <font>
      <sz val="10"/>
      <color rgb="FF999999"/>
      <name val="Roboto Mono"/>
      <family val="0"/>
      <charset val="1"/>
    </font>
    <font>
      <sz val="8"/>
      <color rgb="FF999999"/>
      <name val="Noto Sans CJK SC"/>
      <family val="2"/>
    </font>
    <font>
      <sz val="8"/>
      <color rgb="FF999999"/>
      <name val="Noto Sans KR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1A1A"/>
        <bgColor rgb="FF222222"/>
      </patternFill>
    </fill>
    <fill>
      <patternFill patternType="solid">
        <fgColor rgb="FFEFEFEF"/>
        <bgColor rgb="FFF1F1F1"/>
      </patternFill>
    </fill>
    <fill>
      <patternFill patternType="solid">
        <fgColor rgb="FFFFFFFF"/>
        <bgColor rgb="FFFAF8F6"/>
      </patternFill>
    </fill>
    <fill>
      <patternFill patternType="solid">
        <fgColor rgb="FFFAF8F6"/>
        <bgColor rgb="FFFFFFFF"/>
      </patternFill>
    </fill>
    <fill>
      <patternFill patternType="solid">
        <fgColor rgb="FFF1F1F1"/>
        <bgColor rgb="FFEFEFEF"/>
      </patternFill>
    </fill>
    <fill>
      <patternFill patternType="solid">
        <fgColor rgb="FFF9D0D0"/>
        <bgColor rgb="FFFDDCCC"/>
      </patternFill>
    </fill>
    <fill>
      <patternFill patternType="solid">
        <fgColor rgb="FFFFF9C4"/>
        <bgColor rgb="FFFAF8F6"/>
      </patternFill>
    </fill>
    <fill>
      <patternFill patternType="solid">
        <fgColor rgb="FFFDDCCC"/>
        <bgColor rgb="FFF9D0D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  <border diagonalUp="false" diagonalDown="false">
      <left/>
      <right/>
      <top/>
      <bottom style="medium">
        <color rgb="FF33333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3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1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6" fillId="7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28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9" fillId="8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2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0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1" fillId="9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33" fillId="3" borderId="0" xfId="0" applyFont="true" applyBorder="true" applyAlignment="true" applyProtection="false">
      <alignment horizontal="right" vertical="center" textRotation="0" wrapText="false" indent="1" shrinkToFit="false"/>
      <protection locked="true" hidden="false"/>
    </xf>
    <xf numFmtId="165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3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3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2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3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ont>
        <b val="1"/>
        <color rgb="FFCC0000"/>
      </font>
    </dxf>
    <dxf>
      <font>
        <b val="1"/>
        <color rgb="FFB35C00"/>
      </font>
    </dxf>
    <dxf>
      <font>
        <b val="1"/>
        <color rgb="FFB36B00"/>
      </font>
    </dxf>
    <dxf>
      <font>
        <b val="1"/>
        <color rgb="FF1565C0"/>
      </font>
    </dxf>
    <dxf>
      <font>
        <color rgb="FF999999"/>
      </font>
    </dxf>
    <dxf>
      <font>
        <b val="1"/>
      </font>
    </dxf>
    <dxf>
      <font>
        <color rgb="FFCCCCCC"/>
      </font>
    </dxf>
    <dxf>
      <font>
        <b val="1"/>
        <color rgb="FFB36B00"/>
      </font>
      <fill>
        <patternFill>
          <bgColor rgb="FFFFF9C4"/>
        </patternFill>
      </fill>
    </dxf>
    <dxf>
      <font>
        <color rgb="FFB35C00"/>
      </font>
      <fill>
        <patternFill>
          <bgColor rgb="FFFDD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36B00"/>
      <rgbColor rgb="FF800080"/>
      <rgbColor rgb="FF008080"/>
      <rgbColor rgb="FFCCCCCC"/>
      <rgbColor rgb="FF808080"/>
      <rgbColor rgb="FF9999FF"/>
      <rgbColor rgb="FF993366"/>
      <rgbColor rgb="FFFFF9C4"/>
      <rgbColor rgb="FFEFEFEF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1F1"/>
      <rgbColor rgb="FFFAF8F6"/>
      <rgbColor rgb="FFFDDCCC"/>
      <rgbColor rgb="FF99CCFF"/>
      <rgbColor rgb="FFFF99CC"/>
      <rgbColor rgb="FFCC99FF"/>
      <rgbColor rgb="FFF9D0D0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1A1A1A"/>
      <rgbColor rgb="FF222222"/>
      <rgbColor rgb="FFB35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1A"/>
    <pageSetUpPr fitToPage="false"/>
  </sheetPr>
  <dimension ref="A1:E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52"/>
  </cols>
  <sheetData>
    <row r="1" customFormat="false" ht="22.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1</v>
      </c>
      <c r="B2" s="2"/>
      <c r="C2" s="3" t="s">
        <v>2</v>
      </c>
      <c r="D2" s="3"/>
      <c r="E2" s="3"/>
    </row>
    <row r="3" customFormat="false" ht="7.5" hidden="false" customHeight="true" outlineLevel="0" collapsed="false">
      <c r="A3" s="4"/>
      <c r="B3" s="4"/>
      <c r="C3" s="4"/>
      <c r="D3" s="4"/>
      <c r="E3" s="4"/>
    </row>
    <row r="5" customFormat="false" ht="24" hidden="false" customHeight="true" outlineLevel="0" collapsed="false">
      <c r="A5" s="2" t="s">
        <v>3</v>
      </c>
      <c r="B5" s="2"/>
      <c r="C5" s="2"/>
      <c r="D5" s="2"/>
      <c r="E5" s="2"/>
    </row>
    <row r="6" customFormat="false" ht="19.5" hidden="false" customHeight="true" outlineLevel="0" collapsed="false">
      <c r="A6" s="5" t="s">
        <v>4</v>
      </c>
      <c r="B6" s="6" t="s">
        <v>5</v>
      </c>
      <c r="C6" s="6"/>
      <c r="D6" s="6"/>
      <c r="E6" s="6"/>
    </row>
    <row r="7" customFormat="false" ht="19.5" hidden="false" customHeight="true" outlineLevel="0" collapsed="false">
      <c r="A7" s="7" t="s">
        <v>6</v>
      </c>
      <c r="B7" s="8" t="s">
        <v>7</v>
      </c>
      <c r="C7" s="8"/>
      <c r="D7" s="8"/>
      <c r="E7" s="8"/>
    </row>
    <row r="8" customFormat="false" ht="19.5" hidden="false" customHeight="true" outlineLevel="0" collapsed="false">
      <c r="A8" s="5" t="s">
        <v>8</v>
      </c>
      <c r="B8" s="6" t="s">
        <v>9</v>
      </c>
      <c r="C8" s="6"/>
      <c r="D8" s="6"/>
      <c r="E8" s="6"/>
    </row>
    <row r="10" customFormat="false" ht="24" hidden="false" customHeight="true" outlineLevel="0" collapsed="false">
      <c r="A10" s="2" t="s">
        <v>10</v>
      </c>
      <c r="B10" s="2"/>
      <c r="C10" s="2"/>
      <c r="D10" s="2"/>
      <c r="E10" s="2"/>
    </row>
    <row r="11" customFormat="false" ht="25.5" hidden="false" customHeight="true" outlineLevel="0" collapsed="false">
      <c r="A11" s="9" t="s">
        <v>11</v>
      </c>
      <c r="B11" s="9" t="s">
        <v>12</v>
      </c>
      <c r="C11" s="9" t="s">
        <v>13</v>
      </c>
      <c r="D11" s="9" t="s">
        <v>14</v>
      </c>
      <c r="E11" s="9" t="s">
        <v>15</v>
      </c>
    </row>
    <row r="12" customFormat="false" ht="19.5" hidden="false" customHeight="true" outlineLevel="0" collapsed="false">
      <c r="A12" s="10" t="s">
        <v>16</v>
      </c>
      <c r="B12" s="6" t="s">
        <v>17</v>
      </c>
      <c r="C12" s="6" t="s">
        <v>18</v>
      </c>
      <c r="D12" s="6" t="s">
        <v>19</v>
      </c>
      <c r="E12" s="11" t="s">
        <v>20</v>
      </c>
    </row>
    <row r="13" customFormat="false" ht="19.5" hidden="false" customHeight="true" outlineLevel="0" collapsed="false">
      <c r="A13" s="12" t="s">
        <v>21</v>
      </c>
      <c r="B13" s="8" t="s">
        <v>22</v>
      </c>
      <c r="C13" s="8" t="s">
        <v>18</v>
      </c>
      <c r="D13" s="8" t="s">
        <v>23</v>
      </c>
      <c r="E13" s="13" t="s">
        <v>24</v>
      </c>
    </row>
    <row r="14" customFormat="false" ht="19.5" hidden="false" customHeight="true" outlineLevel="0" collapsed="false">
      <c r="A14" s="10" t="s">
        <v>25</v>
      </c>
      <c r="B14" s="6" t="s">
        <v>26</v>
      </c>
      <c r="C14" s="6" t="s">
        <v>18</v>
      </c>
      <c r="D14" s="6" t="s">
        <v>23</v>
      </c>
      <c r="E14" s="11" t="s">
        <v>27</v>
      </c>
    </row>
    <row r="15" customFormat="false" ht="19.5" hidden="false" customHeight="true" outlineLevel="0" collapsed="false">
      <c r="A15" s="12" t="s">
        <v>28</v>
      </c>
      <c r="B15" s="8" t="s">
        <v>22</v>
      </c>
      <c r="C15" s="8" t="s">
        <v>29</v>
      </c>
      <c r="D15" s="8" t="s">
        <v>23</v>
      </c>
      <c r="E15" s="13" t="s">
        <v>30</v>
      </c>
    </row>
    <row r="16" customFormat="false" ht="19.5" hidden="false" customHeight="true" outlineLevel="0" collapsed="false">
      <c r="A16" s="10" t="s">
        <v>31</v>
      </c>
      <c r="B16" s="6" t="s">
        <v>22</v>
      </c>
      <c r="C16" s="6" t="s">
        <v>32</v>
      </c>
      <c r="D16" s="6" t="s">
        <v>23</v>
      </c>
      <c r="E16" s="11" t="s">
        <v>33</v>
      </c>
    </row>
    <row r="17" customFormat="false" ht="19.5" hidden="false" customHeight="true" outlineLevel="0" collapsed="false">
      <c r="A17" s="12" t="s">
        <v>34</v>
      </c>
      <c r="B17" s="8" t="s">
        <v>35</v>
      </c>
      <c r="C17" s="8" t="s">
        <v>36</v>
      </c>
      <c r="D17" s="8" t="s">
        <v>37</v>
      </c>
      <c r="E17" s="13" t="s">
        <v>38</v>
      </c>
    </row>
    <row r="18" customFormat="false" ht="19.5" hidden="false" customHeight="true" outlineLevel="0" collapsed="false">
      <c r="A18" s="10" t="s">
        <v>39</v>
      </c>
      <c r="B18" s="6" t="s">
        <v>35</v>
      </c>
      <c r="C18" s="6" t="s">
        <v>40</v>
      </c>
      <c r="D18" s="6" t="s">
        <v>37</v>
      </c>
      <c r="E18" s="11" t="s">
        <v>41</v>
      </c>
    </row>
    <row r="19" customFormat="false" ht="19.5" hidden="false" customHeight="true" outlineLevel="0" collapsed="false">
      <c r="A19" s="14" t="s">
        <v>42</v>
      </c>
      <c r="B19" s="15" t="s">
        <v>43</v>
      </c>
      <c r="C19" s="15" t="s">
        <v>43</v>
      </c>
      <c r="D19" s="16" t="s">
        <v>44</v>
      </c>
      <c r="E19" s="17" t="s">
        <v>45</v>
      </c>
    </row>
    <row r="20" customFormat="false" ht="19.5" hidden="false" customHeight="true" outlineLevel="0" collapsed="false">
      <c r="A20" s="18" t="s">
        <v>46</v>
      </c>
      <c r="B20" s="19" t="s">
        <v>43</v>
      </c>
      <c r="C20" s="19" t="s">
        <v>43</v>
      </c>
      <c r="D20" s="20" t="s">
        <v>44</v>
      </c>
      <c r="E20" s="21" t="s">
        <v>47</v>
      </c>
    </row>
    <row r="21" customFormat="false" ht="19.5" hidden="false" customHeight="true" outlineLevel="0" collapsed="false">
      <c r="A21" s="22" t="s">
        <v>48</v>
      </c>
      <c r="B21" s="15" t="s">
        <v>43</v>
      </c>
      <c r="C21" s="15" t="s">
        <v>43</v>
      </c>
      <c r="D21" s="16" t="s">
        <v>44</v>
      </c>
      <c r="E21" s="17" t="s">
        <v>49</v>
      </c>
    </row>
    <row r="23" customFormat="false" ht="24" hidden="false" customHeight="true" outlineLevel="0" collapsed="false">
      <c r="A23" s="2" t="s">
        <v>50</v>
      </c>
      <c r="B23" s="2"/>
      <c r="C23" s="2"/>
      <c r="D23" s="2"/>
      <c r="E23" s="2"/>
    </row>
    <row r="24" customFormat="false" ht="25.5" hidden="false" customHeight="true" outlineLevel="0" collapsed="false">
      <c r="A24" s="9" t="s">
        <v>51</v>
      </c>
      <c r="B24" s="9" t="s">
        <v>52</v>
      </c>
      <c r="C24" s="9" t="s">
        <v>53</v>
      </c>
      <c r="D24" s="9" t="s">
        <v>54</v>
      </c>
      <c r="E24" s="9" t="s">
        <v>55</v>
      </c>
    </row>
    <row r="25" customFormat="false" ht="19.5" hidden="false" customHeight="true" outlineLevel="0" collapsed="false">
      <c r="A25" s="23" t="s">
        <v>56</v>
      </c>
      <c r="B25" s="6" t="s">
        <v>57</v>
      </c>
      <c r="C25" s="6" t="s">
        <v>58</v>
      </c>
      <c r="D25" s="24" t="s">
        <v>59</v>
      </c>
      <c r="E25" s="11" t="s">
        <v>60</v>
      </c>
    </row>
    <row r="26" customFormat="false" ht="19.5" hidden="false" customHeight="true" outlineLevel="0" collapsed="false">
      <c r="A26" s="25" t="s">
        <v>56</v>
      </c>
      <c r="B26" s="8" t="s">
        <v>57</v>
      </c>
      <c r="C26" s="8" t="s">
        <v>58</v>
      </c>
      <c r="D26" s="26" t="s">
        <v>61</v>
      </c>
      <c r="E26" s="13" t="s">
        <v>62</v>
      </c>
    </row>
    <row r="27" customFormat="false" ht="19.5" hidden="false" customHeight="true" outlineLevel="0" collapsed="false">
      <c r="A27" s="23" t="s">
        <v>56</v>
      </c>
      <c r="B27" s="6" t="s">
        <v>57</v>
      </c>
      <c r="C27" s="6" t="s">
        <v>58</v>
      </c>
      <c r="D27" s="24" t="s">
        <v>63</v>
      </c>
      <c r="E27" s="11" t="s">
        <v>64</v>
      </c>
    </row>
    <row r="28" customFormat="false" ht="19.5" hidden="false" customHeight="true" outlineLevel="0" collapsed="false">
      <c r="A28" s="27" t="s">
        <v>65</v>
      </c>
      <c r="B28" s="8" t="s">
        <v>66</v>
      </c>
      <c r="C28" s="8" t="s">
        <v>67</v>
      </c>
      <c r="D28" s="28" t="s">
        <v>68</v>
      </c>
      <c r="E28" s="13" t="s">
        <v>69</v>
      </c>
    </row>
    <row r="29" customFormat="false" ht="19.5" hidden="false" customHeight="true" outlineLevel="0" collapsed="false">
      <c r="A29" s="29" t="s">
        <v>65</v>
      </c>
      <c r="B29" s="6" t="s">
        <v>66</v>
      </c>
      <c r="C29" s="6" t="s">
        <v>67</v>
      </c>
      <c r="D29" s="30" t="s">
        <v>70</v>
      </c>
      <c r="E29" s="11" t="s">
        <v>71</v>
      </c>
    </row>
    <row r="30" customFormat="false" ht="19.5" hidden="false" customHeight="true" outlineLevel="0" collapsed="false">
      <c r="A30" s="31" t="s">
        <v>72</v>
      </c>
      <c r="B30" s="8" t="s">
        <v>73</v>
      </c>
      <c r="C30" s="8" t="s">
        <v>74</v>
      </c>
      <c r="D30" s="32" t="s">
        <v>75</v>
      </c>
      <c r="E30" s="13" t="s">
        <v>76</v>
      </c>
    </row>
    <row r="31" customFormat="false" ht="19.5" hidden="false" customHeight="true" outlineLevel="0" collapsed="false">
      <c r="A31" s="33" t="s">
        <v>77</v>
      </c>
      <c r="B31" s="6" t="s">
        <v>78</v>
      </c>
      <c r="C31" s="6" t="s">
        <v>32</v>
      </c>
      <c r="D31" s="34" t="s">
        <v>78</v>
      </c>
      <c r="E31" s="35" t="s">
        <v>79</v>
      </c>
    </row>
    <row r="32" customFormat="false" ht="19.5" hidden="false" customHeight="true" outlineLevel="0" collapsed="false">
      <c r="A32" s="22" t="s">
        <v>80</v>
      </c>
      <c r="B32" s="8" t="s">
        <v>81</v>
      </c>
      <c r="C32" s="8" t="s">
        <v>32</v>
      </c>
      <c r="D32" s="14" t="s">
        <v>82</v>
      </c>
      <c r="E32" s="13" t="s">
        <v>83</v>
      </c>
    </row>
    <row r="33" customFormat="false" ht="19.5" hidden="false" customHeight="true" outlineLevel="0" collapsed="false">
      <c r="A33" s="5" t="s">
        <v>84</v>
      </c>
      <c r="B33" s="6" t="s">
        <v>85</v>
      </c>
      <c r="C33" s="36" t="s">
        <v>43</v>
      </c>
      <c r="D33" s="10" t="s">
        <v>85</v>
      </c>
      <c r="E33" s="11" t="s">
        <v>86</v>
      </c>
    </row>
    <row r="35" customFormat="false" ht="24" hidden="false" customHeight="true" outlineLevel="0" collapsed="false">
      <c r="A35" s="2" t="s">
        <v>87</v>
      </c>
      <c r="B35" s="2"/>
      <c r="C35" s="2"/>
      <c r="D35" s="2"/>
      <c r="E35" s="2"/>
    </row>
    <row r="36" customFormat="false" ht="25.5" hidden="false" customHeight="true" outlineLevel="0" collapsed="false">
      <c r="A36" s="9" t="s">
        <v>88</v>
      </c>
      <c r="B36" s="9" t="s">
        <v>52</v>
      </c>
      <c r="C36" s="9"/>
      <c r="D36" s="9"/>
      <c r="E36" s="9"/>
    </row>
    <row r="37" customFormat="false" ht="19.5" hidden="false" customHeight="true" outlineLevel="0" collapsed="false">
      <c r="A37" s="5" t="s">
        <v>89</v>
      </c>
      <c r="B37" s="6" t="s">
        <v>90</v>
      </c>
      <c r="C37" s="6"/>
      <c r="D37" s="6"/>
      <c r="E37" s="6"/>
    </row>
    <row r="38" customFormat="false" ht="19.5" hidden="false" customHeight="true" outlineLevel="0" collapsed="false">
      <c r="A38" s="12" t="s">
        <v>91</v>
      </c>
      <c r="B38" s="8" t="s">
        <v>92</v>
      </c>
      <c r="C38" s="8"/>
      <c r="D38" s="8"/>
      <c r="E38" s="8"/>
    </row>
    <row r="39" customFormat="false" ht="19.5" hidden="false" customHeight="true" outlineLevel="0" collapsed="false">
      <c r="A39" s="10" t="s">
        <v>93</v>
      </c>
      <c r="B39" s="6" t="s">
        <v>94</v>
      </c>
      <c r="C39" s="6"/>
      <c r="D39" s="6"/>
      <c r="E39" s="6"/>
    </row>
    <row r="40" customFormat="false" ht="19.5" hidden="false" customHeight="true" outlineLevel="0" collapsed="false">
      <c r="A40" s="12" t="s">
        <v>95</v>
      </c>
      <c r="B40" s="8" t="s">
        <v>96</v>
      </c>
      <c r="C40" s="8"/>
      <c r="D40" s="8"/>
      <c r="E40" s="8"/>
    </row>
    <row r="41" customFormat="false" ht="19.5" hidden="false" customHeight="true" outlineLevel="0" collapsed="false">
      <c r="A41" s="5" t="s">
        <v>97</v>
      </c>
      <c r="B41" s="6" t="s">
        <v>98</v>
      </c>
      <c r="C41" s="6"/>
      <c r="D41" s="6"/>
      <c r="E41" s="6"/>
    </row>
    <row r="42" customFormat="false" ht="19.5" hidden="false" customHeight="true" outlineLevel="0" collapsed="false">
      <c r="A42" s="12" t="s">
        <v>99</v>
      </c>
      <c r="B42" s="8" t="s">
        <v>100</v>
      </c>
      <c r="C42" s="8"/>
      <c r="D42" s="8"/>
      <c r="E42" s="8"/>
    </row>
    <row r="43" customFormat="false" ht="19.5" hidden="false" customHeight="true" outlineLevel="0" collapsed="false">
      <c r="A43" s="10" t="s">
        <v>101</v>
      </c>
      <c r="B43" s="6" t="s">
        <v>102</v>
      </c>
      <c r="C43" s="6"/>
      <c r="D43" s="6"/>
      <c r="E43" s="6"/>
    </row>
    <row r="44" customFormat="false" ht="19.5" hidden="false" customHeight="true" outlineLevel="0" collapsed="false">
      <c r="A44" s="12" t="s">
        <v>103</v>
      </c>
      <c r="B44" s="37" t="s">
        <v>104</v>
      </c>
      <c r="C44" s="37"/>
      <c r="D44" s="37"/>
      <c r="E44" s="37"/>
    </row>
    <row r="46" customFormat="false" ht="24" hidden="false" customHeight="true" outlineLevel="0" collapsed="false">
      <c r="A46" s="2" t="s">
        <v>105</v>
      </c>
      <c r="B46" s="2"/>
      <c r="C46" s="2"/>
      <c r="D46" s="2"/>
      <c r="E46" s="2"/>
    </row>
    <row r="47" customFormat="false" ht="19.5" hidden="false" customHeight="true" outlineLevel="0" collapsed="false">
      <c r="A47" s="38" t="s">
        <v>106</v>
      </c>
      <c r="B47" s="38"/>
      <c r="C47" s="38"/>
      <c r="D47" s="38"/>
      <c r="E47" s="38"/>
    </row>
    <row r="48" customFormat="false" ht="19.5" hidden="false" customHeight="true" outlineLevel="0" collapsed="false">
      <c r="A48" s="38" t="s">
        <v>107</v>
      </c>
      <c r="B48" s="38"/>
      <c r="C48" s="38"/>
      <c r="D48" s="38"/>
      <c r="E48" s="38"/>
    </row>
    <row r="49" customFormat="false" ht="19.5" hidden="false" customHeight="true" outlineLevel="0" collapsed="false">
      <c r="A49" s="38" t="s">
        <v>108</v>
      </c>
      <c r="B49" s="38"/>
      <c r="C49" s="38"/>
      <c r="D49" s="38"/>
      <c r="E49" s="38"/>
    </row>
    <row r="50" customFormat="false" ht="19.5" hidden="false" customHeight="true" outlineLevel="0" collapsed="false">
      <c r="A50" s="38" t="s">
        <v>109</v>
      </c>
      <c r="B50" s="38"/>
      <c r="C50" s="38"/>
      <c r="D50" s="38"/>
      <c r="E50" s="38"/>
    </row>
  </sheetData>
  <mergeCells count="23">
    <mergeCell ref="A1:E1"/>
    <mergeCell ref="A2:B2"/>
    <mergeCell ref="C2:E2"/>
    <mergeCell ref="A5:E5"/>
    <mergeCell ref="B6:E6"/>
    <mergeCell ref="B7:E7"/>
    <mergeCell ref="B8:E8"/>
    <mergeCell ref="A10:E10"/>
    <mergeCell ref="A23:E23"/>
    <mergeCell ref="A35:E35"/>
    <mergeCell ref="B37:E37"/>
    <mergeCell ref="B38:E38"/>
    <mergeCell ref="B39:E39"/>
    <mergeCell ref="B40:E40"/>
    <mergeCell ref="B41:E41"/>
    <mergeCell ref="B42:E42"/>
    <mergeCell ref="B43:E43"/>
    <mergeCell ref="B44:E44"/>
    <mergeCell ref="A46:E46"/>
    <mergeCell ref="A47:E47"/>
    <mergeCell ref="A48:E48"/>
    <mergeCell ref="A49:E49"/>
    <mergeCell ref="A50:E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1A"/>
    <pageSetUpPr fitToPage="false"/>
  </sheetPr>
  <dimension ref="A1:K7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1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4"/>
    <col collapsed="false" customWidth="true" hidden="false" outlineLevel="0" max="8" min="8" style="0" width="9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36"/>
  </cols>
  <sheetData>
    <row r="1" customFormat="false" ht="22.5" hidden="false" customHeight="true" outlineLevel="0" collapsed="false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111</v>
      </c>
      <c r="B2" s="2"/>
      <c r="C2" s="2"/>
      <c r="D2" s="2"/>
      <c r="E2" s="2"/>
      <c r="F2" s="3" t="s">
        <v>2</v>
      </c>
      <c r="G2" s="3"/>
      <c r="H2" s="3"/>
      <c r="I2" s="3"/>
      <c r="J2" s="3"/>
      <c r="K2" s="3"/>
    </row>
    <row r="4" customFormat="false" ht="21.75" hidden="false" customHeight="true" outlineLevel="0" collapsed="false">
      <c r="A4" s="39" t="s">
        <v>112</v>
      </c>
      <c r="B4" s="39"/>
      <c r="C4" s="39"/>
      <c r="D4" s="39"/>
      <c r="E4" s="39"/>
      <c r="F4" s="40" t="s">
        <v>113</v>
      </c>
      <c r="G4" s="40"/>
      <c r="H4" s="40"/>
      <c r="I4" s="40"/>
      <c r="J4" s="40"/>
      <c r="K4" s="40"/>
    </row>
    <row r="5" customFormat="false" ht="25.5" hidden="false" customHeight="true" outlineLevel="0" collapsed="false">
      <c r="A5" s="9" t="s">
        <v>114</v>
      </c>
      <c r="B5" s="9" t="s">
        <v>115</v>
      </c>
      <c r="C5" s="9" t="s">
        <v>116</v>
      </c>
      <c r="D5" s="9" t="s">
        <v>93</v>
      </c>
      <c r="E5" s="9" t="s">
        <v>117</v>
      </c>
      <c r="F5" s="9" t="s">
        <v>118</v>
      </c>
      <c r="G5" s="41" t="s">
        <v>119</v>
      </c>
      <c r="H5" s="41" t="s">
        <v>120</v>
      </c>
      <c r="I5" s="9" t="s">
        <v>121</v>
      </c>
      <c r="J5" s="9" t="s">
        <v>99</v>
      </c>
      <c r="K5" s="9" t="s">
        <v>122</v>
      </c>
    </row>
    <row r="6" customFormat="false" ht="18" hidden="false" customHeight="true" outlineLevel="0" collapsed="false">
      <c r="A6" s="42" t="n">
        <v>1</v>
      </c>
      <c r="B6" s="6" t="s">
        <v>123</v>
      </c>
      <c r="C6" s="6" t="s">
        <v>124</v>
      </c>
      <c r="D6" s="43" t="s">
        <v>125</v>
      </c>
      <c r="E6" s="24" t="s">
        <v>126</v>
      </c>
      <c r="F6" s="44" t="n">
        <v>-2</v>
      </c>
      <c r="G6" s="44" t="n">
        <v>12</v>
      </c>
      <c r="H6" s="45" t="str">
        <f aca="false">IF(OR(G6=0,F6&lt;=0),"",ROUND(F6/(G6/7),0))</f>
        <v/>
      </c>
      <c r="I6" s="45" t="n">
        <v>0</v>
      </c>
      <c r="J6" s="46" t="n">
        <v>0</v>
      </c>
      <c r="K6" s="6" t="s">
        <v>127</v>
      </c>
    </row>
    <row r="7" customFormat="false" ht="18" hidden="false" customHeight="true" outlineLevel="0" collapsed="false">
      <c r="A7" s="47" t="n">
        <v>2</v>
      </c>
      <c r="B7" s="8" t="s">
        <v>123</v>
      </c>
      <c r="C7" s="8" t="s">
        <v>128</v>
      </c>
      <c r="D7" s="48" t="s">
        <v>125</v>
      </c>
      <c r="E7" s="26" t="s">
        <v>129</v>
      </c>
      <c r="F7" s="49" t="n">
        <v>0</v>
      </c>
      <c r="G7" s="49" t="n">
        <v>5</v>
      </c>
      <c r="H7" s="50" t="str">
        <f aca="false">IF(OR(G7=0,F7&lt;=0),"",ROUND(F7/(G7/7),0))</f>
        <v/>
      </c>
      <c r="I7" s="50" t="n">
        <v>8</v>
      </c>
      <c r="J7" s="51" t="n">
        <v>0</v>
      </c>
      <c r="K7" s="8" t="s">
        <v>130</v>
      </c>
    </row>
    <row r="8" customFormat="false" ht="18" hidden="false" customHeight="true" outlineLevel="0" collapsed="false">
      <c r="A8" s="42" t="n">
        <v>3</v>
      </c>
      <c r="B8" s="36" t="s">
        <v>131</v>
      </c>
      <c r="C8" s="6" t="s">
        <v>132</v>
      </c>
      <c r="D8" s="43" t="s">
        <v>133</v>
      </c>
      <c r="E8" s="24" t="s">
        <v>134</v>
      </c>
      <c r="F8" s="44" t="n">
        <v>7</v>
      </c>
      <c r="G8" s="44" t="n">
        <v>10</v>
      </c>
      <c r="H8" s="45" t="n">
        <f aca="false">IF(OR(G8=0,F8&lt;=0),"",ROUND(F8/(G8/7),0))</f>
        <v>5</v>
      </c>
      <c r="I8" s="45" t="n">
        <v>0</v>
      </c>
      <c r="J8" s="46" t="n">
        <v>0</v>
      </c>
      <c r="K8" s="6" t="s">
        <v>135</v>
      </c>
    </row>
    <row r="9" customFormat="false" ht="18" hidden="false" customHeight="true" outlineLevel="0" collapsed="false">
      <c r="A9" s="47" t="n">
        <v>4</v>
      </c>
      <c r="B9" s="37" t="s">
        <v>136</v>
      </c>
      <c r="C9" s="8" t="s">
        <v>137</v>
      </c>
      <c r="D9" s="48" t="s">
        <v>138</v>
      </c>
      <c r="E9" s="26" t="s">
        <v>134</v>
      </c>
      <c r="F9" s="49" t="n">
        <v>14</v>
      </c>
      <c r="G9" s="49" t="n">
        <v>5</v>
      </c>
      <c r="H9" s="50" t="n">
        <f aca="false">IF(OR(G9=0,F9&lt;=0),"",ROUND(F9/(G9/7),0))</f>
        <v>20</v>
      </c>
      <c r="I9" s="50" t="n">
        <v>0</v>
      </c>
      <c r="J9" s="51" t="n">
        <v>0</v>
      </c>
      <c r="K9" s="8" t="s">
        <v>139</v>
      </c>
    </row>
    <row r="10" customFormat="false" ht="18" hidden="false" customHeight="true" outlineLevel="0" collapsed="false">
      <c r="A10" s="42" t="n">
        <v>5</v>
      </c>
      <c r="B10" s="6" t="s">
        <v>123</v>
      </c>
      <c r="C10" s="6" t="s">
        <v>140</v>
      </c>
      <c r="D10" s="43" t="s">
        <v>125</v>
      </c>
      <c r="E10" s="24" t="s">
        <v>134</v>
      </c>
      <c r="F10" s="44" t="n">
        <v>15</v>
      </c>
      <c r="G10" s="44" t="n">
        <v>28</v>
      </c>
      <c r="H10" s="45" t="n">
        <f aca="false">IF(OR(G10=0,F10&lt;=0),"",ROUND(F10/(G10/7),0))</f>
        <v>4</v>
      </c>
      <c r="I10" s="45" t="n">
        <v>0</v>
      </c>
      <c r="J10" s="46" t="n">
        <v>0</v>
      </c>
      <c r="K10" s="6" t="s">
        <v>141</v>
      </c>
    </row>
    <row r="11" customFormat="false" ht="18" hidden="false" customHeight="true" outlineLevel="0" collapsed="false">
      <c r="A11" s="47" t="n">
        <v>6</v>
      </c>
      <c r="B11" s="8" t="s">
        <v>142</v>
      </c>
      <c r="C11" s="8" t="s">
        <v>143</v>
      </c>
      <c r="D11" s="48" t="s">
        <v>125</v>
      </c>
      <c r="E11" s="26" t="s">
        <v>134</v>
      </c>
      <c r="F11" s="49" t="n">
        <v>25</v>
      </c>
      <c r="G11" s="49" t="n">
        <v>42</v>
      </c>
      <c r="H11" s="50" t="n">
        <f aca="false">IF(OR(G11=0,F11&lt;=0),"",ROUND(F11/(G11/7),0))</f>
        <v>4</v>
      </c>
      <c r="I11" s="50" t="n">
        <v>0</v>
      </c>
      <c r="J11" s="51" t="n">
        <v>0</v>
      </c>
      <c r="K11" s="8" t="s">
        <v>141</v>
      </c>
    </row>
    <row r="12" customFormat="false" ht="18" hidden="false" customHeight="true" outlineLevel="0" collapsed="false">
      <c r="A12" s="42" t="n">
        <v>7</v>
      </c>
      <c r="B12" s="36" t="s">
        <v>144</v>
      </c>
      <c r="C12" s="6" t="s">
        <v>145</v>
      </c>
      <c r="D12" s="43" t="s">
        <v>138</v>
      </c>
      <c r="E12" s="24" t="s">
        <v>134</v>
      </c>
      <c r="F12" s="44" t="n">
        <v>28</v>
      </c>
      <c r="G12" s="44" t="n">
        <v>7</v>
      </c>
      <c r="H12" s="45" t="n">
        <f aca="false">IF(OR(G12=0,F12&lt;=0),"",ROUND(F12/(G12/7),0))</f>
        <v>28</v>
      </c>
      <c r="I12" s="45" t="n">
        <v>0</v>
      </c>
      <c r="J12" s="46" t="n">
        <v>0</v>
      </c>
      <c r="K12" s="6" t="s">
        <v>146</v>
      </c>
    </row>
    <row r="13" customFormat="false" ht="18" hidden="false" customHeight="true" outlineLevel="0" collapsed="false">
      <c r="A13" s="47" t="n">
        <v>8</v>
      </c>
      <c r="B13" s="37" t="s">
        <v>147</v>
      </c>
      <c r="C13" s="8" t="s">
        <v>148</v>
      </c>
      <c r="D13" s="48" t="s">
        <v>133</v>
      </c>
      <c r="E13" s="26" t="s">
        <v>134</v>
      </c>
      <c r="F13" s="49" t="n">
        <v>33</v>
      </c>
      <c r="G13" s="49" t="n">
        <v>28</v>
      </c>
      <c r="H13" s="50" t="n">
        <f aca="false">IF(OR(G13=0,F13&lt;=0),"",ROUND(F13/(G13/7),0))</f>
        <v>8</v>
      </c>
      <c r="I13" s="50" t="n">
        <v>0</v>
      </c>
      <c r="J13" s="51" t="n">
        <v>0</v>
      </c>
      <c r="K13" s="8" t="s">
        <v>149</v>
      </c>
    </row>
    <row r="14" customFormat="false" ht="18" hidden="false" customHeight="true" outlineLevel="0" collapsed="false">
      <c r="A14" s="42" t="n">
        <v>9</v>
      </c>
      <c r="B14" s="36" t="s">
        <v>150</v>
      </c>
      <c r="C14" s="6" t="s">
        <v>151</v>
      </c>
      <c r="D14" s="43" t="s">
        <v>133</v>
      </c>
      <c r="E14" s="24" t="s">
        <v>134</v>
      </c>
      <c r="F14" s="44" t="n">
        <v>54</v>
      </c>
      <c r="G14" s="44" t="n">
        <v>21</v>
      </c>
      <c r="H14" s="45" t="n">
        <f aca="false">IF(OR(G14=0,F14&lt;=0),"",ROUND(F14/(G14/7),0))</f>
        <v>18</v>
      </c>
      <c r="I14" s="45" t="n">
        <v>0</v>
      </c>
      <c r="J14" s="46" t="n">
        <v>0</v>
      </c>
      <c r="K14" s="6" t="s">
        <v>152</v>
      </c>
    </row>
    <row r="15" customFormat="false" ht="18" hidden="false" customHeight="true" outlineLevel="0" collapsed="false">
      <c r="A15" s="47" t="n">
        <v>10</v>
      </c>
      <c r="B15" s="37" t="s">
        <v>136</v>
      </c>
      <c r="C15" s="8" t="s">
        <v>153</v>
      </c>
      <c r="D15" s="48" t="s">
        <v>138</v>
      </c>
      <c r="E15" s="26" t="s">
        <v>134</v>
      </c>
      <c r="F15" s="49" t="n">
        <v>62</v>
      </c>
      <c r="G15" s="49" t="n">
        <v>14</v>
      </c>
      <c r="H15" s="50" t="n">
        <f aca="false">IF(OR(G15=0,F15&lt;=0),"",ROUND(F15/(G15/7),0))</f>
        <v>31</v>
      </c>
      <c r="I15" s="50" t="n">
        <v>0</v>
      </c>
      <c r="J15" s="51" t="n">
        <v>0</v>
      </c>
      <c r="K15" s="8" t="s">
        <v>154</v>
      </c>
    </row>
    <row r="16" customFormat="false" ht="18" hidden="false" customHeight="true" outlineLevel="0" collapsed="false">
      <c r="A16" s="42" t="n">
        <v>11</v>
      </c>
      <c r="B16" s="36" t="s">
        <v>136</v>
      </c>
      <c r="C16" s="6" t="s">
        <v>155</v>
      </c>
      <c r="D16" s="43" t="s">
        <v>138</v>
      </c>
      <c r="E16" s="30" t="s">
        <v>156</v>
      </c>
      <c r="F16" s="44" t="n">
        <v>0</v>
      </c>
      <c r="G16" s="44" t="n">
        <v>3</v>
      </c>
      <c r="H16" s="45" t="str">
        <f aca="false">IF(OR(G16=0,F16&lt;=0),"",ROUND(F16/(G16/7),0))</f>
        <v/>
      </c>
      <c r="I16" s="45" t="n">
        <v>12</v>
      </c>
      <c r="J16" s="46" t="n">
        <v>0</v>
      </c>
      <c r="K16" s="6" t="s">
        <v>157</v>
      </c>
    </row>
    <row r="17" customFormat="false" ht="18" hidden="false" customHeight="true" outlineLevel="0" collapsed="false">
      <c r="A17" s="47" t="n">
        <v>12</v>
      </c>
      <c r="B17" s="8" t="s">
        <v>142</v>
      </c>
      <c r="C17" s="8" t="s">
        <v>158</v>
      </c>
      <c r="D17" s="48" t="s">
        <v>125</v>
      </c>
      <c r="E17" s="28" t="s">
        <v>159</v>
      </c>
      <c r="F17" s="49" t="n">
        <v>61</v>
      </c>
      <c r="G17" s="49" t="n">
        <v>35</v>
      </c>
      <c r="H17" s="50" t="n">
        <f aca="false">IF(OR(G17=0,F17&lt;=0),"",ROUND(F17/(G17/7),0))</f>
        <v>12</v>
      </c>
      <c r="I17" s="50" t="n">
        <v>0</v>
      </c>
      <c r="J17" s="51" t="n">
        <v>0</v>
      </c>
      <c r="K17" s="8" t="s">
        <v>160</v>
      </c>
    </row>
    <row r="18" customFormat="false" ht="18" hidden="false" customHeight="true" outlineLevel="0" collapsed="false">
      <c r="A18" s="42" t="n">
        <v>13</v>
      </c>
      <c r="B18" s="36" t="s">
        <v>150</v>
      </c>
      <c r="C18" s="6" t="s">
        <v>161</v>
      </c>
      <c r="D18" s="43" t="s">
        <v>133</v>
      </c>
      <c r="E18" s="30" t="s">
        <v>159</v>
      </c>
      <c r="F18" s="44" t="n">
        <v>106</v>
      </c>
      <c r="G18" s="44" t="n">
        <v>21</v>
      </c>
      <c r="H18" s="45" t="n">
        <f aca="false">IF(OR(G18=0,F18&lt;=0),"",ROUND(F18/(G18/7),0))</f>
        <v>35</v>
      </c>
      <c r="I18" s="45" t="n">
        <v>0</v>
      </c>
      <c r="J18" s="46" t="n">
        <v>0</v>
      </c>
      <c r="K18" s="6" t="s">
        <v>162</v>
      </c>
    </row>
    <row r="19" customFormat="false" ht="18" hidden="false" customHeight="true" outlineLevel="0" collapsed="false">
      <c r="A19" s="47" t="n">
        <v>14</v>
      </c>
      <c r="B19" s="37" t="s">
        <v>136</v>
      </c>
      <c r="C19" s="8" t="s">
        <v>163</v>
      </c>
      <c r="D19" s="48" t="s">
        <v>138</v>
      </c>
      <c r="E19" s="28" t="s">
        <v>159</v>
      </c>
      <c r="F19" s="49" t="n">
        <v>128</v>
      </c>
      <c r="G19" s="49" t="n">
        <v>14</v>
      </c>
      <c r="H19" s="50" t="n">
        <f aca="false">IF(OR(G19=0,F19&lt;=0),"",ROUND(F19/(G19/7),0))</f>
        <v>64</v>
      </c>
      <c r="I19" s="50" t="n">
        <v>0</v>
      </c>
      <c r="J19" s="51" t="n">
        <v>0</v>
      </c>
      <c r="K19" s="37" t="s">
        <v>164</v>
      </c>
    </row>
    <row r="20" customFormat="false" ht="18" hidden="false" customHeight="true" outlineLevel="0" collapsed="false">
      <c r="A20" s="42" t="n">
        <v>15</v>
      </c>
      <c r="B20" s="36" t="s">
        <v>165</v>
      </c>
      <c r="C20" s="6" t="s">
        <v>166</v>
      </c>
      <c r="D20" s="43" t="s">
        <v>133</v>
      </c>
      <c r="E20" s="20" t="s">
        <v>167</v>
      </c>
      <c r="F20" s="44" t="n">
        <v>0</v>
      </c>
      <c r="G20" s="44" t="n">
        <v>2</v>
      </c>
      <c r="H20" s="45" t="str">
        <f aca="false">IF(OR(G20=0,F20&lt;=0),"",ROUND(F20/(G20/7),0))</f>
        <v/>
      </c>
      <c r="I20" s="45" t="n">
        <v>34</v>
      </c>
      <c r="J20" s="46" t="n">
        <v>0</v>
      </c>
      <c r="K20" s="6" t="s">
        <v>168</v>
      </c>
    </row>
    <row r="22" customFormat="false" ht="21.75" hidden="false" customHeight="true" outlineLevel="0" collapsed="false">
      <c r="A22" s="52" t="s">
        <v>169</v>
      </c>
      <c r="B22" s="52"/>
      <c r="C22" s="52"/>
      <c r="D22" s="52"/>
      <c r="E22" s="52"/>
      <c r="F22" s="40" t="s">
        <v>170</v>
      </c>
      <c r="G22" s="40"/>
      <c r="H22" s="40"/>
      <c r="I22" s="40"/>
      <c r="J22" s="40"/>
      <c r="K22" s="40"/>
    </row>
    <row r="23" customFormat="false" ht="25.5" hidden="false" customHeight="true" outlineLevel="0" collapsed="false">
      <c r="A23" s="9" t="s">
        <v>114</v>
      </c>
      <c r="B23" s="9" t="s">
        <v>115</v>
      </c>
      <c r="C23" s="9" t="s">
        <v>116</v>
      </c>
      <c r="D23" s="9" t="s">
        <v>93</v>
      </c>
      <c r="E23" s="9" t="s">
        <v>117</v>
      </c>
      <c r="F23" s="9" t="s">
        <v>118</v>
      </c>
      <c r="G23" s="41" t="s">
        <v>119</v>
      </c>
      <c r="H23" s="41" t="s">
        <v>120</v>
      </c>
      <c r="I23" s="9" t="s">
        <v>121</v>
      </c>
      <c r="J23" s="9" t="s">
        <v>99</v>
      </c>
      <c r="K23" s="9" t="s">
        <v>122</v>
      </c>
    </row>
    <row r="24" customFormat="false" ht="18" hidden="false" customHeight="true" outlineLevel="0" collapsed="false">
      <c r="A24" s="42" t="n">
        <v>1</v>
      </c>
      <c r="B24" s="36" t="s">
        <v>165</v>
      </c>
      <c r="C24" s="6" t="s">
        <v>166</v>
      </c>
      <c r="D24" s="43" t="s">
        <v>133</v>
      </c>
      <c r="E24" s="20" t="s">
        <v>167</v>
      </c>
      <c r="F24" s="44" t="n">
        <v>0</v>
      </c>
      <c r="G24" s="44" t="n">
        <v>2</v>
      </c>
      <c r="H24" s="45" t="str">
        <f aca="false">IF(OR(G24=0,F24&lt;=0),"",ROUND(F24/(G24/7),0))</f>
        <v/>
      </c>
      <c r="I24" s="45" t="n">
        <v>34</v>
      </c>
      <c r="J24" s="46" t="n">
        <v>0</v>
      </c>
      <c r="K24" s="6" t="s">
        <v>168</v>
      </c>
    </row>
    <row r="25" customFormat="false" ht="18" hidden="false" customHeight="true" outlineLevel="0" collapsed="false">
      <c r="A25" s="47" t="n">
        <v>2</v>
      </c>
      <c r="B25" s="37" t="s">
        <v>136</v>
      </c>
      <c r="C25" s="8" t="s">
        <v>155</v>
      </c>
      <c r="D25" s="48" t="s">
        <v>138</v>
      </c>
      <c r="E25" s="28" t="s">
        <v>156</v>
      </c>
      <c r="F25" s="49" t="n">
        <v>0</v>
      </c>
      <c r="G25" s="49" t="n">
        <v>3</v>
      </c>
      <c r="H25" s="50" t="str">
        <f aca="false">IF(OR(G25=0,F25&lt;=0),"",ROUND(F25/(G25/7),0))</f>
        <v/>
      </c>
      <c r="I25" s="50" t="n">
        <v>12</v>
      </c>
      <c r="J25" s="51" t="n">
        <v>0</v>
      </c>
      <c r="K25" s="8" t="s">
        <v>157</v>
      </c>
    </row>
    <row r="26" customFormat="false" ht="18" hidden="false" customHeight="true" outlineLevel="0" collapsed="false">
      <c r="A26" s="42" t="n">
        <v>3</v>
      </c>
      <c r="B26" s="6" t="s">
        <v>123</v>
      </c>
      <c r="C26" s="6" t="s">
        <v>128</v>
      </c>
      <c r="D26" s="43" t="s">
        <v>125</v>
      </c>
      <c r="E26" s="24" t="s">
        <v>129</v>
      </c>
      <c r="F26" s="44" t="n">
        <v>0</v>
      </c>
      <c r="G26" s="44" t="n">
        <v>5</v>
      </c>
      <c r="H26" s="45" t="str">
        <f aca="false">IF(OR(G26=0,F26&lt;=0),"",ROUND(F26/(G26/7),0))</f>
        <v/>
      </c>
      <c r="I26" s="45" t="n">
        <v>8</v>
      </c>
      <c r="J26" s="46" t="n">
        <v>0</v>
      </c>
      <c r="K26" s="6" t="s">
        <v>130</v>
      </c>
    </row>
    <row r="28" customFormat="false" ht="21.75" hidden="false" customHeight="true" outlineLevel="0" collapsed="false">
      <c r="A28" s="53" t="s">
        <v>171</v>
      </c>
      <c r="B28" s="53"/>
      <c r="C28" s="53"/>
      <c r="D28" s="53"/>
      <c r="E28" s="53"/>
      <c r="F28" s="54" t="s">
        <v>172</v>
      </c>
      <c r="G28" s="54"/>
      <c r="H28" s="54"/>
      <c r="I28" s="54"/>
      <c r="J28" s="54"/>
      <c r="K28" s="54"/>
    </row>
    <row r="29" customFormat="false" ht="25.5" hidden="false" customHeight="true" outlineLevel="0" collapsed="false">
      <c r="A29" s="9" t="s">
        <v>114</v>
      </c>
      <c r="B29" s="9" t="s">
        <v>115</v>
      </c>
      <c r="C29" s="9" t="s">
        <v>116</v>
      </c>
      <c r="D29" s="9" t="s">
        <v>93</v>
      </c>
      <c r="E29" s="9" t="s">
        <v>117</v>
      </c>
      <c r="F29" s="9" t="s">
        <v>118</v>
      </c>
      <c r="G29" s="41" t="s">
        <v>119</v>
      </c>
      <c r="H29" s="41" t="s">
        <v>120</v>
      </c>
      <c r="I29" s="9" t="s">
        <v>121</v>
      </c>
      <c r="J29" s="9" t="s">
        <v>99</v>
      </c>
      <c r="K29" s="9" t="s">
        <v>122</v>
      </c>
    </row>
    <row r="30" customFormat="false" ht="18" hidden="false" customHeight="true" outlineLevel="0" collapsed="false">
      <c r="A30" s="42" t="n">
        <v>1</v>
      </c>
      <c r="B30" s="36" t="s">
        <v>136</v>
      </c>
      <c r="C30" s="6" t="s">
        <v>173</v>
      </c>
      <c r="D30" s="43" t="s">
        <v>138</v>
      </c>
      <c r="E30" s="55" t="s">
        <v>174</v>
      </c>
      <c r="F30" s="44" t="n">
        <v>3</v>
      </c>
      <c r="G30" s="44" t="n">
        <v>0</v>
      </c>
      <c r="H30" s="45" t="str">
        <f aca="false">IF(OR(G30=0,F30&lt;=0),"",ROUND(F30/(G30/7),0))</f>
        <v/>
      </c>
      <c r="I30" s="45" t="n">
        <v>0</v>
      </c>
      <c r="J30" s="46" t="n">
        <v>0</v>
      </c>
      <c r="K30" s="36" t="s">
        <v>175</v>
      </c>
    </row>
    <row r="31" customFormat="false" ht="18" hidden="false" customHeight="true" outlineLevel="0" collapsed="false">
      <c r="A31" s="47" t="n">
        <v>2</v>
      </c>
      <c r="B31" s="37" t="s">
        <v>136</v>
      </c>
      <c r="C31" s="8" t="s">
        <v>176</v>
      </c>
      <c r="D31" s="48" t="s">
        <v>138</v>
      </c>
      <c r="E31" s="32" t="s">
        <v>174</v>
      </c>
      <c r="F31" s="49" t="n">
        <v>3</v>
      </c>
      <c r="G31" s="49" t="n">
        <v>0</v>
      </c>
      <c r="H31" s="50" t="str">
        <f aca="false">IF(OR(G31=0,F31&lt;=0),"",ROUND(F31/(G31/7),0))</f>
        <v/>
      </c>
      <c r="I31" s="50" t="n">
        <v>0</v>
      </c>
      <c r="J31" s="51" t="n">
        <v>0</v>
      </c>
      <c r="K31" s="8" t="s">
        <v>177</v>
      </c>
    </row>
    <row r="32" customFormat="false" ht="18" hidden="false" customHeight="true" outlineLevel="0" collapsed="false">
      <c r="A32" s="42" t="n">
        <v>3</v>
      </c>
      <c r="B32" s="36" t="s">
        <v>165</v>
      </c>
      <c r="C32" s="6" t="s">
        <v>178</v>
      </c>
      <c r="D32" s="43" t="s">
        <v>133</v>
      </c>
      <c r="E32" s="55" t="s">
        <v>174</v>
      </c>
      <c r="F32" s="44" t="n">
        <v>4</v>
      </c>
      <c r="G32" s="44" t="n">
        <v>0</v>
      </c>
      <c r="H32" s="45" t="str">
        <f aca="false">IF(OR(G32=0,F32&lt;=0),"",ROUND(F32/(G32/7),0))</f>
        <v/>
      </c>
      <c r="I32" s="45" t="n">
        <v>0</v>
      </c>
      <c r="J32" s="46" t="n">
        <v>0</v>
      </c>
      <c r="K32" s="36" t="s">
        <v>179</v>
      </c>
    </row>
    <row r="33" customFormat="false" ht="18" hidden="false" customHeight="true" outlineLevel="0" collapsed="false">
      <c r="A33" s="47" t="n">
        <v>4</v>
      </c>
      <c r="B33" s="37" t="s">
        <v>131</v>
      </c>
      <c r="C33" s="8" t="s">
        <v>132</v>
      </c>
      <c r="D33" s="48" t="s">
        <v>133</v>
      </c>
      <c r="E33" s="26" t="s">
        <v>134</v>
      </c>
      <c r="F33" s="49" t="n">
        <v>7</v>
      </c>
      <c r="G33" s="49" t="n">
        <v>10</v>
      </c>
      <c r="H33" s="50" t="n">
        <f aca="false">IF(OR(G33=0,F33&lt;=0),"",ROUND(F33/(G33/7),0))</f>
        <v>5</v>
      </c>
      <c r="I33" s="50" t="n">
        <v>0</v>
      </c>
      <c r="J33" s="51" t="n">
        <v>0</v>
      </c>
      <c r="K33" s="37" t="s">
        <v>180</v>
      </c>
    </row>
    <row r="34" customFormat="false" ht="18" hidden="false" customHeight="true" outlineLevel="0" collapsed="false">
      <c r="A34" s="42" t="n">
        <v>5</v>
      </c>
      <c r="B34" s="36" t="s">
        <v>136</v>
      </c>
      <c r="C34" s="6" t="s">
        <v>137</v>
      </c>
      <c r="D34" s="43" t="s">
        <v>138</v>
      </c>
      <c r="E34" s="24" t="s">
        <v>134</v>
      </c>
      <c r="F34" s="44" t="n">
        <v>14</v>
      </c>
      <c r="G34" s="44" t="n">
        <v>5</v>
      </c>
      <c r="H34" s="45" t="n">
        <f aca="false">IF(OR(G34=0,F34&lt;=0),"",ROUND(F34/(G34/7),0))</f>
        <v>20</v>
      </c>
      <c r="I34" s="45" t="n">
        <v>0</v>
      </c>
      <c r="J34" s="46" t="n">
        <v>0</v>
      </c>
      <c r="K34" s="6" t="s">
        <v>177</v>
      </c>
    </row>
    <row r="35" customFormat="false" ht="18" hidden="false" customHeight="true" outlineLevel="0" collapsed="false">
      <c r="A35" s="47" t="n">
        <v>6</v>
      </c>
      <c r="B35" s="8" t="s">
        <v>123</v>
      </c>
      <c r="C35" s="8" t="s">
        <v>140</v>
      </c>
      <c r="D35" s="48" t="s">
        <v>125</v>
      </c>
      <c r="E35" s="26" t="s">
        <v>134</v>
      </c>
      <c r="F35" s="49" t="n">
        <v>15</v>
      </c>
      <c r="G35" s="49" t="n">
        <v>28</v>
      </c>
      <c r="H35" s="50" t="n">
        <f aca="false">IF(OR(G35=0,F35&lt;=0),"",ROUND(F35/(G35/7),0))</f>
        <v>4</v>
      </c>
      <c r="I35" s="50" t="n">
        <v>0</v>
      </c>
      <c r="J35" s="51" t="n">
        <v>0</v>
      </c>
      <c r="K35" s="8" t="s">
        <v>181</v>
      </c>
    </row>
    <row r="36" customFormat="false" ht="18" hidden="false" customHeight="true" outlineLevel="0" collapsed="false">
      <c r="A36" s="42" t="n">
        <v>7</v>
      </c>
      <c r="B36" s="36" t="s">
        <v>144</v>
      </c>
      <c r="C36" s="6" t="s">
        <v>145</v>
      </c>
      <c r="D36" s="43" t="s">
        <v>138</v>
      </c>
      <c r="E36" s="24" t="s">
        <v>134</v>
      </c>
      <c r="F36" s="44" t="n">
        <v>28</v>
      </c>
      <c r="G36" s="44" t="n">
        <v>7</v>
      </c>
      <c r="H36" s="45" t="n">
        <f aca="false">IF(OR(G36=0,F36&lt;=0),"",ROUND(F36/(G36/7),0))</f>
        <v>28</v>
      </c>
      <c r="I36" s="45" t="n">
        <v>0</v>
      </c>
      <c r="J36" s="46" t="n">
        <v>0</v>
      </c>
      <c r="K36" s="6" t="s">
        <v>181</v>
      </c>
    </row>
    <row r="37" customFormat="false" ht="18" hidden="false" customHeight="true" outlineLevel="0" collapsed="false">
      <c r="A37" s="47" t="n">
        <v>8</v>
      </c>
      <c r="B37" s="37" t="s">
        <v>147</v>
      </c>
      <c r="C37" s="8" t="s">
        <v>148</v>
      </c>
      <c r="D37" s="48" t="s">
        <v>133</v>
      </c>
      <c r="E37" s="26" t="s">
        <v>134</v>
      </c>
      <c r="F37" s="49" t="n">
        <v>33</v>
      </c>
      <c r="G37" s="49" t="n">
        <v>28</v>
      </c>
      <c r="H37" s="50" t="n">
        <f aca="false">IF(OR(G37=0,F37&lt;=0),"",ROUND(F37/(G37/7),0))</f>
        <v>8</v>
      </c>
      <c r="I37" s="50" t="n">
        <v>0</v>
      </c>
      <c r="J37" s="51" t="n">
        <v>0</v>
      </c>
      <c r="K37" s="8" t="s">
        <v>181</v>
      </c>
    </row>
    <row r="39" customFormat="false" ht="21.75" hidden="false" customHeight="true" outlineLevel="0" collapsed="false">
      <c r="A39" s="56" t="s">
        <v>182</v>
      </c>
      <c r="B39" s="56"/>
      <c r="C39" s="56"/>
      <c r="D39" s="56"/>
      <c r="E39" s="56"/>
      <c r="F39" s="57" t="s">
        <v>183</v>
      </c>
      <c r="G39" s="57"/>
      <c r="H39" s="57"/>
      <c r="I39" s="57"/>
      <c r="J39" s="57"/>
      <c r="K39" s="57"/>
    </row>
    <row r="40" customFormat="false" ht="25.5" hidden="false" customHeight="true" outlineLevel="0" collapsed="false">
      <c r="A40" s="9" t="s">
        <v>114</v>
      </c>
      <c r="B40" s="9" t="s">
        <v>115</v>
      </c>
      <c r="C40" s="9" t="s">
        <v>116</v>
      </c>
      <c r="D40" s="9" t="s">
        <v>93</v>
      </c>
      <c r="E40" s="9" t="s">
        <v>117</v>
      </c>
      <c r="F40" s="9" t="s">
        <v>118</v>
      </c>
      <c r="G40" s="41" t="s">
        <v>119</v>
      </c>
      <c r="H40" s="41" t="s">
        <v>120</v>
      </c>
      <c r="I40" s="9" t="s">
        <v>121</v>
      </c>
      <c r="J40" s="9" t="s">
        <v>99</v>
      </c>
      <c r="K40" s="9" t="s">
        <v>122</v>
      </c>
    </row>
    <row r="41" customFormat="false" ht="18" hidden="false" customHeight="true" outlineLevel="0" collapsed="false">
      <c r="A41" s="42" t="n">
        <v>1</v>
      </c>
      <c r="B41" s="6" t="s">
        <v>142</v>
      </c>
      <c r="C41" s="6" t="s">
        <v>143</v>
      </c>
      <c r="D41" s="43" t="s">
        <v>125</v>
      </c>
      <c r="E41" s="24" t="s">
        <v>134</v>
      </c>
      <c r="F41" s="44" t="n">
        <v>25</v>
      </c>
      <c r="G41" s="44" t="n">
        <v>42</v>
      </c>
      <c r="H41" s="45" t="n">
        <f aca="false">IF(OR(G41=0,F41&lt;=0),"",ROUND(F41/(G41/7),0))</f>
        <v>4</v>
      </c>
      <c r="I41" s="45" t="n">
        <v>0</v>
      </c>
      <c r="J41" s="46" t="n">
        <v>0</v>
      </c>
      <c r="K41" s="6" t="s">
        <v>141</v>
      </c>
    </row>
    <row r="42" customFormat="false" ht="18" hidden="false" customHeight="true" outlineLevel="0" collapsed="false">
      <c r="A42" s="47" t="n">
        <v>2</v>
      </c>
      <c r="B42" s="8" t="s">
        <v>142</v>
      </c>
      <c r="C42" s="8" t="s">
        <v>158</v>
      </c>
      <c r="D42" s="48" t="s">
        <v>125</v>
      </c>
      <c r="E42" s="28" t="s">
        <v>159</v>
      </c>
      <c r="F42" s="49" t="n">
        <v>61</v>
      </c>
      <c r="G42" s="49" t="n">
        <v>35</v>
      </c>
      <c r="H42" s="50" t="n">
        <f aca="false">IF(OR(G42=0,F42&lt;=0),"",ROUND(F42/(G42/7),0))</f>
        <v>12</v>
      </c>
      <c r="I42" s="50" t="n">
        <v>0</v>
      </c>
      <c r="J42" s="51" t="n">
        <v>0</v>
      </c>
      <c r="K42" s="8" t="s">
        <v>160</v>
      </c>
    </row>
    <row r="43" customFormat="false" ht="18" hidden="false" customHeight="true" outlineLevel="0" collapsed="false">
      <c r="A43" s="42" t="n">
        <v>3</v>
      </c>
      <c r="B43" s="36" t="s">
        <v>147</v>
      </c>
      <c r="C43" s="6" t="s">
        <v>148</v>
      </c>
      <c r="D43" s="43" t="s">
        <v>133</v>
      </c>
      <c r="E43" s="24" t="s">
        <v>134</v>
      </c>
      <c r="F43" s="44" t="n">
        <v>33</v>
      </c>
      <c r="G43" s="44" t="n">
        <v>28</v>
      </c>
      <c r="H43" s="45" t="n">
        <f aca="false">IF(OR(G43=0,F43&lt;=0),"",ROUND(F43/(G43/7),0))</f>
        <v>8</v>
      </c>
      <c r="I43" s="45" t="n">
        <v>0</v>
      </c>
      <c r="J43" s="46" t="n">
        <v>0</v>
      </c>
      <c r="K43" s="6" t="s">
        <v>149</v>
      </c>
    </row>
    <row r="44" customFormat="false" ht="18" hidden="false" customHeight="true" outlineLevel="0" collapsed="false">
      <c r="A44" s="47" t="n">
        <v>4</v>
      </c>
      <c r="B44" s="8" t="s">
        <v>184</v>
      </c>
      <c r="C44" s="8" t="s">
        <v>185</v>
      </c>
      <c r="D44" s="48" t="s">
        <v>125</v>
      </c>
      <c r="E44" s="8" t="s">
        <v>186</v>
      </c>
      <c r="F44" s="49" t="n">
        <v>114</v>
      </c>
      <c r="G44" s="49" t="n">
        <v>28</v>
      </c>
      <c r="H44" s="50" t="n">
        <f aca="false">IF(OR(G44=0,F44&lt;=0),"",ROUND(F44/(G44/7),0))</f>
        <v>29</v>
      </c>
      <c r="I44" s="50" t="n">
        <v>0</v>
      </c>
      <c r="J44" s="51" t="n">
        <v>0</v>
      </c>
      <c r="K44" s="8"/>
    </row>
    <row r="45" customFormat="false" ht="18" hidden="false" customHeight="true" outlineLevel="0" collapsed="false">
      <c r="A45" s="42" t="n">
        <v>5</v>
      </c>
      <c r="B45" s="6" t="s">
        <v>123</v>
      </c>
      <c r="C45" s="6" t="s">
        <v>140</v>
      </c>
      <c r="D45" s="43" t="s">
        <v>125</v>
      </c>
      <c r="E45" s="24" t="s">
        <v>134</v>
      </c>
      <c r="F45" s="44" t="n">
        <v>15</v>
      </c>
      <c r="G45" s="44" t="n">
        <v>28</v>
      </c>
      <c r="H45" s="45" t="n">
        <f aca="false">IF(OR(G45=0,F45&lt;=0),"",ROUND(F45/(G45/7),0))</f>
        <v>4</v>
      </c>
      <c r="I45" s="45" t="n">
        <v>0</v>
      </c>
      <c r="J45" s="46" t="n">
        <v>0</v>
      </c>
      <c r="K45" s="6" t="s">
        <v>141</v>
      </c>
    </row>
    <row r="46" customFormat="false" ht="18" hidden="false" customHeight="true" outlineLevel="0" collapsed="false">
      <c r="A46" s="47" t="n">
        <v>6</v>
      </c>
      <c r="B46" s="37" t="s">
        <v>150</v>
      </c>
      <c r="C46" s="8" t="s">
        <v>151</v>
      </c>
      <c r="D46" s="48" t="s">
        <v>133</v>
      </c>
      <c r="E46" s="26" t="s">
        <v>134</v>
      </c>
      <c r="F46" s="49" t="n">
        <v>54</v>
      </c>
      <c r="G46" s="49" t="n">
        <v>21</v>
      </c>
      <c r="H46" s="50" t="n">
        <f aca="false">IF(OR(G46=0,F46&lt;=0),"",ROUND(F46/(G46/7),0))</f>
        <v>18</v>
      </c>
      <c r="I46" s="50" t="n">
        <v>0</v>
      </c>
      <c r="J46" s="51" t="n">
        <v>0</v>
      </c>
      <c r="K46" s="8" t="s">
        <v>152</v>
      </c>
    </row>
    <row r="47" customFormat="false" ht="18" hidden="false" customHeight="true" outlineLevel="0" collapsed="false">
      <c r="A47" s="42" t="n">
        <v>7</v>
      </c>
      <c r="B47" s="36" t="s">
        <v>150</v>
      </c>
      <c r="C47" s="6" t="s">
        <v>161</v>
      </c>
      <c r="D47" s="43" t="s">
        <v>133</v>
      </c>
      <c r="E47" s="30" t="s">
        <v>159</v>
      </c>
      <c r="F47" s="44" t="n">
        <v>106</v>
      </c>
      <c r="G47" s="44" t="n">
        <v>21</v>
      </c>
      <c r="H47" s="45" t="n">
        <f aca="false">IF(OR(G47=0,F47&lt;=0),"",ROUND(F47/(G47/7),0))</f>
        <v>35</v>
      </c>
      <c r="I47" s="45" t="n">
        <v>0</v>
      </c>
      <c r="J47" s="46" t="n">
        <v>0</v>
      </c>
      <c r="K47" s="6" t="s">
        <v>162</v>
      </c>
    </row>
    <row r="48" customFormat="false" ht="18" hidden="false" customHeight="true" outlineLevel="0" collapsed="false">
      <c r="A48" s="47" t="n">
        <v>8</v>
      </c>
      <c r="B48" s="8" t="s">
        <v>187</v>
      </c>
      <c r="C48" s="8" t="s">
        <v>188</v>
      </c>
      <c r="D48" s="48" t="s">
        <v>125</v>
      </c>
      <c r="E48" s="8" t="s">
        <v>186</v>
      </c>
      <c r="F48" s="49" t="n">
        <v>167</v>
      </c>
      <c r="G48" s="49" t="n">
        <v>21</v>
      </c>
      <c r="H48" s="50" t="n">
        <f aca="false">IF(OR(G48=0,F48&lt;=0),"",ROUND(F48/(G48/7),0))</f>
        <v>56</v>
      </c>
      <c r="I48" s="50" t="n">
        <v>0</v>
      </c>
      <c r="J48" s="51" t="n">
        <v>0</v>
      </c>
      <c r="K48" s="8"/>
    </row>
    <row r="49" customFormat="false" ht="18" hidden="false" customHeight="true" outlineLevel="0" collapsed="false">
      <c r="A49" s="42" t="n">
        <v>9</v>
      </c>
      <c r="B49" s="36" t="s">
        <v>189</v>
      </c>
      <c r="C49" s="6" t="s">
        <v>190</v>
      </c>
      <c r="D49" s="43" t="s">
        <v>133</v>
      </c>
      <c r="E49" s="6" t="s">
        <v>186</v>
      </c>
      <c r="F49" s="44" t="n">
        <v>184</v>
      </c>
      <c r="G49" s="44" t="n">
        <v>17</v>
      </c>
      <c r="H49" s="45" t="n">
        <f aca="false">IF(OR(G49=0,F49&lt;=0),"",ROUND(F49/(G49/7),0))</f>
        <v>76</v>
      </c>
      <c r="I49" s="45" t="n">
        <v>0</v>
      </c>
      <c r="J49" s="46" t="n">
        <v>0</v>
      </c>
      <c r="K49" s="6"/>
    </row>
    <row r="50" customFormat="false" ht="18" hidden="false" customHeight="true" outlineLevel="0" collapsed="false">
      <c r="A50" s="47" t="n">
        <v>10</v>
      </c>
      <c r="B50" s="37" t="s">
        <v>136</v>
      </c>
      <c r="C50" s="8" t="s">
        <v>153</v>
      </c>
      <c r="D50" s="48" t="s">
        <v>138</v>
      </c>
      <c r="E50" s="26" t="s">
        <v>134</v>
      </c>
      <c r="F50" s="49" t="n">
        <v>62</v>
      </c>
      <c r="G50" s="49" t="n">
        <v>14</v>
      </c>
      <c r="H50" s="50" t="n">
        <f aca="false">IF(OR(G50=0,F50&lt;=0),"",ROUND(F50/(G50/7),0))</f>
        <v>31</v>
      </c>
      <c r="I50" s="50" t="n">
        <v>0</v>
      </c>
      <c r="J50" s="51" t="n">
        <v>0</v>
      </c>
      <c r="K50" s="8" t="s">
        <v>154</v>
      </c>
    </row>
    <row r="52" customFormat="false" ht="21.75" hidden="false" customHeight="true" outlineLevel="0" collapsed="false">
      <c r="A52" s="53" t="s">
        <v>191</v>
      </c>
      <c r="B52" s="53"/>
      <c r="C52" s="53"/>
      <c r="D52" s="53"/>
      <c r="E52" s="53"/>
      <c r="F52" s="54" t="s">
        <v>192</v>
      </c>
      <c r="G52" s="54"/>
      <c r="H52" s="54"/>
      <c r="I52" s="54"/>
      <c r="J52" s="54"/>
      <c r="K52" s="54"/>
    </row>
    <row r="53" customFormat="false" ht="25.5" hidden="false" customHeight="true" outlineLevel="0" collapsed="false">
      <c r="A53" s="9" t="s">
        <v>114</v>
      </c>
      <c r="B53" s="9" t="s">
        <v>115</v>
      </c>
      <c r="C53" s="9" t="s">
        <v>116</v>
      </c>
      <c r="D53" s="9" t="s">
        <v>93</v>
      </c>
      <c r="E53" s="9" t="s">
        <v>117</v>
      </c>
      <c r="F53" s="9" t="s">
        <v>118</v>
      </c>
      <c r="G53" s="41" t="s">
        <v>119</v>
      </c>
      <c r="H53" s="41" t="s">
        <v>120</v>
      </c>
      <c r="I53" s="9" t="s">
        <v>121</v>
      </c>
      <c r="J53" s="9" t="s">
        <v>99</v>
      </c>
      <c r="K53" s="9" t="s">
        <v>122</v>
      </c>
    </row>
    <row r="54" customFormat="false" ht="18" hidden="false" customHeight="true" outlineLevel="0" collapsed="false">
      <c r="A54" s="42" t="n">
        <v>1</v>
      </c>
      <c r="B54" s="36" t="s">
        <v>147</v>
      </c>
      <c r="C54" s="6" t="s">
        <v>193</v>
      </c>
      <c r="D54" s="43" t="s">
        <v>133</v>
      </c>
      <c r="E54" s="34" t="s">
        <v>194</v>
      </c>
      <c r="F54" s="44" t="n">
        <v>126</v>
      </c>
      <c r="G54" s="44" t="n">
        <v>14</v>
      </c>
      <c r="H54" s="45" t="n">
        <f aca="false">IF(OR(G54=0,F54&lt;=0),"",ROUND(F54/(G54/7),0))</f>
        <v>63</v>
      </c>
      <c r="I54" s="45" t="n">
        <v>91</v>
      </c>
      <c r="J54" s="46" t="n">
        <v>2646000</v>
      </c>
      <c r="K54" s="6" t="s">
        <v>195</v>
      </c>
    </row>
    <row r="55" customFormat="false" ht="18" hidden="false" customHeight="true" outlineLevel="0" collapsed="false">
      <c r="A55" s="47" t="n">
        <v>2</v>
      </c>
      <c r="B55" s="37" t="s">
        <v>189</v>
      </c>
      <c r="C55" s="8" t="s">
        <v>190</v>
      </c>
      <c r="D55" s="48" t="s">
        <v>133</v>
      </c>
      <c r="E55" s="58" t="s">
        <v>194</v>
      </c>
      <c r="F55" s="49" t="n">
        <v>184</v>
      </c>
      <c r="G55" s="49" t="n">
        <v>17</v>
      </c>
      <c r="H55" s="50" t="n">
        <f aca="false">IF(OR(G55=0,F55&lt;=0),"",ROUND(F55/(G55/7),0))</f>
        <v>76</v>
      </c>
      <c r="I55" s="50" t="n">
        <v>299</v>
      </c>
      <c r="J55" s="51" t="n">
        <v>1637600</v>
      </c>
      <c r="K55" s="8" t="s">
        <v>196</v>
      </c>
    </row>
    <row r="56" customFormat="false" ht="18" hidden="false" customHeight="true" outlineLevel="0" collapsed="false">
      <c r="A56" s="42" t="n">
        <v>3</v>
      </c>
      <c r="B56" s="36" t="s">
        <v>197</v>
      </c>
      <c r="C56" s="6" t="s">
        <v>198</v>
      </c>
      <c r="D56" s="43" t="s">
        <v>133</v>
      </c>
      <c r="E56" s="34" t="s">
        <v>194</v>
      </c>
      <c r="F56" s="44" t="n">
        <v>372</v>
      </c>
      <c r="G56" s="44" t="n">
        <v>7</v>
      </c>
      <c r="H56" s="45" t="n">
        <f aca="false">IF(OR(G56=0,F56&lt;=0),"",ROUND(F56/(G56/7),0))</f>
        <v>372</v>
      </c>
      <c r="I56" s="45" t="n">
        <v>194</v>
      </c>
      <c r="J56" s="46" t="n">
        <v>1413600</v>
      </c>
      <c r="K56" s="6" t="s">
        <v>199</v>
      </c>
    </row>
    <row r="57" customFormat="false" ht="18" hidden="false" customHeight="true" outlineLevel="0" collapsed="false">
      <c r="A57" s="47" t="n">
        <v>4</v>
      </c>
      <c r="B57" s="37" t="s">
        <v>136</v>
      </c>
      <c r="C57" s="8" t="s">
        <v>200</v>
      </c>
      <c r="D57" s="48" t="s">
        <v>138</v>
      </c>
      <c r="E57" s="58" t="s">
        <v>194</v>
      </c>
      <c r="F57" s="49" t="n">
        <v>265</v>
      </c>
      <c r="G57" s="49" t="n">
        <v>9</v>
      </c>
      <c r="H57" s="50" t="n">
        <f aca="false">IF(OR(G57=0,F57&lt;=0),"",ROUND(F57/(G57/7),0))</f>
        <v>206</v>
      </c>
      <c r="I57" s="50" t="n">
        <v>109</v>
      </c>
      <c r="J57" s="51" t="n">
        <v>1113000</v>
      </c>
      <c r="K57" s="8" t="s">
        <v>201</v>
      </c>
    </row>
    <row r="58" customFormat="false" ht="18" hidden="false" customHeight="true" outlineLevel="0" collapsed="false">
      <c r="A58" s="42" t="n">
        <v>5</v>
      </c>
      <c r="B58" s="36" t="s">
        <v>136</v>
      </c>
      <c r="C58" s="6" t="s">
        <v>202</v>
      </c>
      <c r="D58" s="43" t="s">
        <v>138</v>
      </c>
      <c r="E58" s="34" t="s">
        <v>194</v>
      </c>
      <c r="F58" s="44" t="n">
        <v>195</v>
      </c>
      <c r="G58" s="44" t="n">
        <v>14</v>
      </c>
      <c r="H58" s="45" t="n">
        <f aca="false">IF(OR(G58=0,F58&lt;=0),"",ROUND(F58/(G58/7),0))</f>
        <v>98</v>
      </c>
      <c r="I58" s="45" t="n">
        <v>40</v>
      </c>
      <c r="J58" s="46" t="n">
        <v>741000</v>
      </c>
      <c r="K58" s="6"/>
    </row>
    <row r="59" customFormat="false" ht="18" hidden="false" customHeight="true" outlineLevel="0" collapsed="false">
      <c r="A59" s="47" t="n">
        <v>6</v>
      </c>
      <c r="B59" s="37" t="s">
        <v>144</v>
      </c>
      <c r="C59" s="8" t="s">
        <v>203</v>
      </c>
      <c r="D59" s="48" t="s">
        <v>138</v>
      </c>
      <c r="E59" s="58" t="s">
        <v>194</v>
      </c>
      <c r="F59" s="49" t="n">
        <v>64</v>
      </c>
      <c r="G59" s="49" t="n">
        <v>4</v>
      </c>
      <c r="H59" s="50" t="n">
        <f aca="false">IF(OR(G59=0,F59&lt;=0),"",ROUND(F59/(G59/7),0))</f>
        <v>112</v>
      </c>
      <c r="I59" s="50" t="n">
        <v>232</v>
      </c>
      <c r="J59" s="51" t="n">
        <v>608000</v>
      </c>
      <c r="K59" s="37" t="s">
        <v>204</v>
      </c>
    </row>
    <row r="60" customFormat="false" ht="18" hidden="false" customHeight="true" outlineLevel="0" collapsed="false">
      <c r="A60" s="42" t="n">
        <v>7</v>
      </c>
      <c r="B60" s="36" t="s">
        <v>189</v>
      </c>
      <c r="C60" s="6" t="s">
        <v>205</v>
      </c>
      <c r="D60" s="43" t="s">
        <v>133</v>
      </c>
      <c r="E60" s="34" t="s">
        <v>194</v>
      </c>
      <c r="F60" s="44" t="n">
        <v>84</v>
      </c>
      <c r="G60" s="44" t="n">
        <v>9</v>
      </c>
      <c r="H60" s="45" t="n">
        <f aca="false">IF(OR(G60=0,F60&lt;=0),"",ROUND(F60/(G60/7),0))</f>
        <v>65</v>
      </c>
      <c r="I60" s="45" t="n">
        <v>167</v>
      </c>
      <c r="J60" s="46" t="n">
        <v>470400</v>
      </c>
      <c r="K60" s="36" t="s">
        <v>206</v>
      </c>
    </row>
    <row r="61" customFormat="false" ht="18" hidden="false" customHeight="true" outlineLevel="0" collapsed="false">
      <c r="A61" s="47" t="n">
        <v>8</v>
      </c>
      <c r="B61" s="8" t="s">
        <v>123</v>
      </c>
      <c r="C61" s="8" t="s">
        <v>207</v>
      </c>
      <c r="D61" s="48" t="s">
        <v>125</v>
      </c>
      <c r="E61" s="58" t="s">
        <v>194</v>
      </c>
      <c r="F61" s="49" t="n">
        <v>295</v>
      </c>
      <c r="G61" s="49" t="n">
        <v>7</v>
      </c>
      <c r="H61" s="50" t="n">
        <f aca="false">IF(OR(G61=0,F61&lt;=0),"",ROUND(F61/(G61/7),0))</f>
        <v>295</v>
      </c>
      <c r="I61" s="50" t="n">
        <v>130</v>
      </c>
      <c r="J61" s="51" t="n">
        <v>265500</v>
      </c>
      <c r="K61" s="8" t="s">
        <v>208</v>
      </c>
    </row>
    <row r="62" customFormat="false" ht="18" hidden="false" customHeight="true" outlineLevel="0" collapsed="false">
      <c r="A62" s="42" t="n">
        <v>9</v>
      </c>
      <c r="B62" s="6" t="s">
        <v>184</v>
      </c>
      <c r="C62" s="6" t="s">
        <v>185</v>
      </c>
      <c r="D62" s="43" t="s">
        <v>125</v>
      </c>
      <c r="E62" s="34" t="s">
        <v>194</v>
      </c>
      <c r="F62" s="44" t="n">
        <v>114</v>
      </c>
      <c r="G62" s="44" t="n">
        <v>28</v>
      </c>
      <c r="H62" s="45" t="n">
        <f aca="false">IF(OR(G62=0,F62&lt;=0),"",ROUND(F62/(G62/7),0))</f>
        <v>29</v>
      </c>
      <c r="I62" s="45" t="n">
        <v>23</v>
      </c>
      <c r="J62" s="46" t="n">
        <v>125400</v>
      </c>
      <c r="K62" s="6"/>
    </row>
    <row r="63" customFormat="false" ht="18" hidden="false" customHeight="true" outlineLevel="0" collapsed="false">
      <c r="A63" s="47" t="n">
        <v>10</v>
      </c>
      <c r="B63" s="8" t="s">
        <v>123</v>
      </c>
      <c r="C63" s="8" t="s">
        <v>209</v>
      </c>
      <c r="D63" s="48" t="s">
        <v>125</v>
      </c>
      <c r="E63" s="58" t="s">
        <v>194</v>
      </c>
      <c r="F63" s="49" t="n">
        <v>220</v>
      </c>
      <c r="G63" s="49" t="n">
        <v>14</v>
      </c>
      <c r="H63" s="50" t="n">
        <f aca="false">IF(OR(G63=0,F63&lt;=0),"",ROUND(F63/(G63/7),0))</f>
        <v>110</v>
      </c>
      <c r="I63" s="50" t="n">
        <v>250</v>
      </c>
      <c r="J63" s="51" t="n">
        <v>70400</v>
      </c>
      <c r="K63" s="8" t="s">
        <v>210</v>
      </c>
    </row>
    <row r="65" customFormat="false" ht="21.75" hidden="false" customHeight="true" outlineLevel="0" collapsed="false">
      <c r="A65" s="59" t="s">
        <v>211</v>
      </c>
      <c r="B65" s="59"/>
      <c r="C65" s="59"/>
      <c r="D65" s="59"/>
      <c r="E65" s="59"/>
      <c r="F65" s="60" t="s">
        <v>212</v>
      </c>
      <c r="G65" s="60"/>
      <c r="H65" s="60"/>
      <c r="I65" s="60"/>
      <c r="J65" s="60"/>
      <c r="K65" s="60"/>
    </row>
    <row r="66" customFormat="false" ht="25.5" hidden="false" customHeight="true" outlineLevel="0" collapsed="false">
      <c r="A66" s="9" t="s">
        <v>114</v>
      </c>
      <c r="B66" s="9" t="s">
        <v>115</v>
      </c>
      <c r="C66" s="9" t="s">
        <v>116</v>
      </c>
      <c r="D66" s="9" t="s">
        <v>93</v>
      </c>
      <c r="E66" s="9" t="s">
        <v>117</v>
      </c>
      <c r="F66" s="9" t="s">
        <v>118</v>
      </c>
      <c r="G66" s="41" t="s">
        <v>119</v>
      </c>
      <c r="H66" s="41" t="s">
        <v>120</v>
      </c>
      <c r="I66" s="9" t="s">
        <v>121</v>
      </c>
      <c r="J66" s="9" t="s">
        <v>99</v>
      </c>
      <c r="K66" s="9" t="s">
        <v>122</v>
      </c>
    </row>
    <row r="67" customFormat="false" ht="18" hidden="false" customHeight="true" outlineLevel="0" collapsed="false">
      <c r="A67" s="61" t="n">
        <v>1</v>
      </c>
      <c r="B67" s="19" t="s">
        <v>136</v>
      </c>
      <c r="C67" s="20" t="s">
        <v>213</v>
      </c>
      <c r="D67" s="62" t="s">
        <v>138</v>
      </c>
      <c r="E67" s="20" t="s">
        <v>167</v>
      </c>
      <c r="F67" s="63" t="n">
        <v>0</v>
      </c>
      <c r="G67" s="63" t="n">
        <v>0</v>
      </c>
      <c r="H67" s="64" t="str">
        <f aca="false">IF(OR(G67=0,F67&lt;=0),"",ROUND(F67/(G67/7),0))</f>
        <v/>
      </c>
      <c r="I67" s="64" t="n">
        <v>313</v>
      </c>
      <c r="J67" s="65" t="n">
        <v>0</v>
      </c>
      <c r="K67" s="20" t="s">
        <v>214</v>
      </c>
    </row>
    <row r="68" customFormat="false" ht="18" hidden="false" customHeight="true" outlineLevel="0" collapsed="false">
      <c r="A68" s="66" t="n">
        <v>2</v>
      </c>
      <c r="B68" s="15" t="s">
        <v>131</v>
      </c>
      <c r="C68" s="16" t="s">
        <v>215</v>
      </c>
      <c r="D68" s="67" t="s">
        <v>133</v>
      </c>
      <c r="E68" s="16" t="s">
        <v>167</v>
      </c>
      <c r="F68" s="68" t="n">
        <v>0</v>
      </c>
      <c r="G68" s="68" t="n">
        <v>0</v>
      </c>
      <c r="H68" s="69" t="str">
        <f aca="false">IF(OR(G68=0,F68&lt;=0),"",ROUND(F68/(G68/7),0))</f>
        <v/>
      </c>
      <c r="I68" s="69" t="n">
        <v>265</v>
      </c>
      <c r="J68" s="70" t="n">
        <v>0</v>
      </c>
      <c r="K68" s="15" t="s">
        <v>216</v>
      </c>
    </row>
    <row r="69" customFormat="false" ht="18" hidden="false" customHeight="true" outlineLevel="0" collapsed="false">
      <c r="A69" s="61" t="n">
        <v>3</v>
      </c>
      <c r="B69" s="20" t="s">
        <v>217</v>
      </c>
      <c r="C69" s="20" t="s">
        <v>128</v>
      </c>
      <c r="D69" s="62" t="s">
        <v>125</v>
      </c>
      <c r="E69" s="20" t="s">
        <v>167</v>
      </c>
      <c r="F69" s="63" t="n">
        <v>0</v>
      </c>
      <c r="G69" s="63" t="n">
        <v>0</v>
      </c>
      <c r="H69" s="64" t="str">
        <f aca="false">IF(OR(G69=0,F69&lt;=0),"",ROUND(F69/(G69/7),0))</f>
        <v/>
      </c>
      <c r="I69" s="64" t="n">
        <v>210</v>
      </c>
      <c r="J69" s="65" t="n">
        <v>0</v>
      </c>
      <c r="K69" s="20" t="s">
        <v>218</v>
      </c>
    </row>
    <row r="70" customFormat="false" ht="18" hidden="false" customHeight="true" outlineLevel="0" collapsed="false">
      <c r="A70" s="66" t="n">
        <v>4</v>
      </c>
      <c r="B70" s="15" t="s">
        <v>144</v>
      </c>
      <c r="C70" s="16" t="s">
        <v>145</v>
      </c>
      <c r="D70" s="67" t="s">
        <v>138</v>
      </c>
      <c r="E70" s="16" t="s">
        <v>167</v>
      </c>
      <c r="F70" s="68" t="n">
        <v>0</v>
      </c>
      <c r="G70" s="68" t="n">
        <v>0</v>
      </c>
      <c r="H70" s="69" t="str">
        <f aca="false">IF(OR(G70=0,F70&lt;=0),"",ROUND(F70/(G70/7),0))</f>
        <v/>
      </c>
      <c r="I70" s="69" t="n">
        <v>201</v>
      </c>
      <c r="J70" s="70" t="n">
        <v>0</v>
      </c>
      <c r="K70" s="16" t="s">
        <v>219</v>
      </c>
    </row>
    <row r="71" customFormat="false" ht="18" hidden="false" customHeight="true" outlineLevel="0" collapsed="false">
      <c r="A71" s="61" t="n">
        <v>5</v>
      </c>
      <c r="B71" s="19" t="s">
        <v>165</v>
      </c>
      <c r="C71" s="20" t="s">
        <v>220</v>
      </c>
      <c r="D71" s="62" t="s">
        <v>133</v>
      </c>
      <c r="E71" s="20" t="s">
        <v>167</v>
      </c>
      <c r="F71" s="63" t="n">
        <v>0</v>
      </c>
      <c r="G71" s="63" t="n">
        <v>0</v>
      </c>
      <c r="H71" s="64" t="str">
        <f aca="false">IF(OR(G71=0,F71&lt;=0),"",ROUND(F71/(G71/7),0))</f>
        <v/>
      </c>
      <c r="I71" s="64" t="n">
        <v>154</v>
      </c>
      <c r="J71" s="65" t="n">
        <v>0</v>
      </c>
      <c r="K71" s="20" t="s">
        <v>221</v>
      </c>
    </row>
    <row r="72" customFormat="false" ht="18" hidden="false" customHeight="true" outlineLevel="0" collapsed="false">
      <c r="A72" s="66" t="n">
        <v>6</v>
      </c>
      <c r="B72" s="15" t="s">
        <v>136</v>
      </c>
      <c r="C72" s="16" t="s">
        <v>222</v>
      </c>
      <c r="D72" s="67" t="s">
        <v>138</v>
      </c>
      <c r="E72" s="16" t="s">
        <v>167</v>
      </c>
      <c r="F72" s="68" t="n">
        <v>0</v>
      </c>
      <c r="G72" s="68" t="n">
        <v>0</v>
      </c>
      <c r="H72" s="69" t="str">
        <f aca="false">IF(OR(G72=0,F72&lt;=0),"",ROUND(F72/(G72/7),0))</f>
        <v/>
      </c>
      <c r="I72" s="69" t="n">
        <v>117</v>
      </c>
      <c r="J72" s="70" t="n">
        <v>0</v>
      </c>
      <c r="K72" s="16" t="s">
        <v>223</v>
      </c>
    </row>
    <row r="75" customFormat="false" ht="15" hidden="false" customHeight="false" outlineLevel="0" collapsed="false">
      <c r="A75" s="71" t="s">
        <v>224</v>
      </c>
    </row>
  </sheetData>
  <mergeCells count="15">
    <mergeCell ref="A1:K1"/>
    <mergeCell ref="A2:E2"/>
    <mergeCell ref="F2:K2"/>
    <mergeCell ref="A4:E4"/>
    <mergeCell ref="F4:K4"/>
    <mergeCell ref="A22:E22"/>
    <mergeCell ref="F22:K22"/>
    <mergeCell ref="A28:E28"/>
    <mergeCell ref="F28:K28"/>
    <mergeCell ref="A39:E39"/>
    <mergeCell ref="F39:K39"/>
    <mergeCell ref="A52:E52"/>
    <mergeCell ref="F52:K52"/>
    <mergeCell ref="A65:E65"/>
    <mergeCell ref="F65:K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1A"/>
    <pageSetUpPr fitToPage="false"/>
  </sheetPr>
  <dimension ref="A1:R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3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19"/>
    <col collapsed="false" customWidth="true" hidden="false" outlineLevel="0" max="9" min="9" style="0" width="15"/>
    <col collapsed="false" customWidth="true" hidden="false" outlineLevel="0" max="10" min="10" style="0" width="17"/>
    <col collapsed="false" customWidth="true" hidden="false" outlineLevel="0" max="12" min="11" style="0" width="11"/>
    <col collapsed="false" customWidth="true" hidden="false" outlineLevel="0" max="13" min="13" style="0" width="14"/>
    <col collapsed="false" customWidth="true" hidden="false" outlineLevel="0" max="14" min="14" style="0" width="11"/>
    <col collapsed="false" customWidth="true" hidden="false" outlineLevel="0" max="15" min="15" style="0" width="14"/>
    <col collapsed="false" customWidth="true" hidden="false" outlineLevel="0" max="16" min="16" style="0" width="9"/>
    <col collapsed="false" customWidth="true" hidden="false" outlineLevel="0" max="17" min="17" style="0" width="34"/>
    <col collapsed="false" customWidth="true" hidden="false" outlineLevel="0" max="18" min="18" style="0" width="28"/>
  </cols>
  <sheetData>
    <row r="1" customFormat="false" ht="22.5" hidden="false" customHeight="true" outlineLevel="0" collapsed="false">
      <c r="A1" s="1" t="s">
        <v>225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21.75" hidden="false" customHeight="true" outlineLevel="0" collapsed="false">
      <c r="A2" s="2" t="s">
        <v>226</v>
      </c>
      <c r="B2" s="2"/>
      <c r="C2" s="2"/>
      <c r="D2" s="2"/>
      <c r="E2" s="2"/>
      <c r="F2" s="2"/>
      <c r="G2" s="2"/>
      <c r="H2" s="2"/>
      <c r="I2" s="2"/>
      <c r="J2" s="3" t="s">
        <v>2</v>
      </c>
      <c r="K2" s="3"/>
      <c r="L2" s="3"/>
      <c r="M2" s="3"/>
      <c r="N2" s="3"/>
      <c r="O2" s="3"/>
      <c r="P2" s="3"/>
      <c r="Q2" s="3"/>
      <c r="R2" s="3"/>
    </row>
    <row r="3" customFormat="false" ht="25.5" hidden="false" customHeight="true" outlineLevel="0" collapsed="false">
      <c r="A3" s="9" t="s">
        <v>115</v>
      </c>
      <c r="B3" s="9" t="s">
        <v>227</v>
      </c>
      <c r="C3" s="9" t="s">
        <v>116</v>
      </c>
      <c r="D3" s="9" t="s">
        <v>93</v>
      </c>
      <c r="E3" s="9" t="s">
        <v>117</v>
      </c>
      <c r="F3" s="9" t="s">
        <v>228</v>
      </c>
      <c r="G3" s="41" t="s">
        <v>229</v>
      </c>
      <c r="H3" s="41" t="s">
        <v>230</v>
      </c>
      <c r="I3" s="9" t="s">
        <v>231</v>
      </c>
      <c r="J3" s="9" t="s">
        <v>232</v>
      </c>
      <c r="K3" s="9" t="s">
        <v>95</v>
      </c>
      <c r="L3" s="9" t="s">
        <v>233</v>
      </c>
      <c r="M3" s="9" t="s">
        <v>234</v>
      </c>
      <c r="N3" s="9" t="s">
        <v>235</v>
      </c>
      <c r="O3" s="41" t="s">
        <v>119</v>
      </c>
      <c r="P3" s="41" t="s">
        <v>120</v>
      </c>
      <c r="Q3" s="9" t="s">
        <v>122</v>
      </c>
      <c r="R3" s="9" t="s">
        <v>236</v>
      </c>
    </row>
    <row r="4" customFormat="false" ht="18" hidden="false" customHeight="true" outlineLevel="0" collapsed="false">
      <c r="A4" s="37" t="s">
        <v>136</v>
      </c>
      <c r="B4" s="72" t="s">
        <v>237</v>
      </c>
      <c r="C4" s="8" t="s">
        <v>153</v>
      </c>
      <c r="D4" s="48" t="s">
        <v>138</v>
      </c>
      <c r="E4" s="8" t="s">
        <v>134</v>
      </c>
      <c r="F4" s="50" t="n">
        <v>30</v>
      </c>
      <c r="G4" s="49" t="n">
        <v>40</v>
      </c>
      <c r="H4" s="49" t="n">
        <v>12</v>
      </c>
      <c r="I4" s="49" t="n">
        <v>6</v>
      </c>
      <c r="J4" s="49" t="n">
        <v>4</v>
      </c>
      <c r="K4" s="49" t="n">
        <f aca="false">SUM(G4:J4)</f>
        <v>62</v>
      </c>
      <c r="L4" s="49" t="n">
        <v>64</v>
      </c>
      <c r="M4" s="49" t="n">
        <f aca="false">K4-L4+N4</f>
        <v>0</v>
      </c>
      <c r="N4" s="49" t="n">
        <v>2</v>
      </c>
      <c r="O4" s="49" t="n">
        <v>14</v>
      </c>
      <c r="P4" s="50" t="n">
        <f aca="false">IF(OR($O4=0,$K4&lt;=0),"",ROUND($K4/($O4/7),0))</f>
        <v>31</v>
      </c>
      <c r="Q4" s="8" t="s">
        <v>154</v>
      </c>
      <c r="R4" s="73"/>
    </row>
    <row r="5" customFormat="false" ht="18" hidden="false" customHeight="true" outlineLevel="0" collapsed="false">
      <c r="A5" s="36" t="s">
        <v>136</v>
      </c>
      <c r="B5" s="74" t="s">
        <v>238</v>
      </c>
      <c r="C5" s="6" t="s">
        <v>163</v>
      </c>
      <c r="D5" s="43" t="s">
        <v>138</v>
      </c>
      <c r="E5" s="6" t="s">
        <v>159</v>
      </c>
      <c r="F5" s="45" t="n">
        <v>30</v>
      </c>
      <c r="G5" s="44" t="n">
        <v>90</v>
      </c>
      <c r="H5" s="44" t="n">
        <v>20</v>
      </c>
      <c r="I5" s="44" t="n">
        <v>10</v>
      </c>
      <c r="J5" s="44" t="n">
        <v>8</v>
      </c>
      <c r="K5" s="44" t="n">
        <f aca="false">SUM(G5:J5)</f>
        <v>128</v>
      </c>
      <c r="L5" s="44" t="n">
        <v>130</v>
      </c>
      <c r="M5" s="44" t="n">
        <f aca="false">K5-L5+N5</f>
        <v>0</v>
      </c>
      <c r="N5" s="44" t="n">
        <v>2</v>
      </c>
      <c r="O5" s="44" t="n">
        <v>14</v>
      </c>
      <c r="P5" s="45" t="n">
        <f aca="false">IF(OR($O5=0,$K5&lt;=0),"",ROUND($K5/($O5/7),0))</f>
        <v>64</v>
      </c>
      <c r="Q5" s="36" t="s">
        <v>164</v>
      </c>
      <c r="R5" s="35"/>
    </row>
    <row r="6" customFormat="false" ht="18" hidden="false" customHeight="true" outlineLevel="0" collapsed="false">
      <c r="A6" s="37" t="s">
        <v>136</v>
      </c>
      <c r="B6" s="72" t="s">
        <v>239</v>
      </c>
      <c r="C6" s="8" t="s">
        <v>200</v>
      </c>
      <c r="D6" s="48" t="s">
        <v>138</v>
      </c>
      <c r="E6" s="8" t="s">
        <v>194</v>
      </c>
      <c r="F6" s="50" t="n">
        <v>30</v>
      </c>
      <c r="G6" s="49" t="n">
        <v>210</v>
      </c>
      <c r="H6" s="49" t="n">
        <v>30</v>
      </c>
      <c r="I6" s="49" t="n">
        <v>15</v>
      </c>
      <c r="J6" s="49" t="n">
        <v>10</v>
      </c>
      <c r="K6" s="49" t="n">
        <f aca="false">SUM(G6:J6)</f>
        <v>265</v>
      </c>
      <c r="L6" s="49" t="n">
        <v>266</v>
      </c>
      <c r="M6" s="49" t="n">
        <f aca="false">K6-L6+N6</f>
        <v>0</v>
      </c>
      <c r="N6" s="49" t="n">
        <v>1</v>
      </c>
      <c r="O6" s="49" t="n">
        <v>9</v>
      </c>
      <c r="P6" s="50" t="n">
        <f aca="false">IF(OR($O6=0,$K6&lt;=0),"",ROUND($K6/($O6/7),0))</f>
        <v>206</v>
      </c>
      <c r="Q6" s="8" t="s">
        <v>240</v>
      </c>
      <c r="R6" s="73"/>
    </row>
    <row r="7" customFormat="false" ht="18" hidden="false" customHeight="true" outlineLevel="0" collapsed="false">
      <c r="A7" s="36" t="s">
        <v>136</v>
      </c>
      <c r="B7" s="74" t="s">
        <v>241</v>
      </c>
      <c r="C7" s="6" t="s">
        <v>202</v>
      </c>
      <c r="D7" s="43" t="s">
        <v>138</v>
      </c>
      <c r="E7" s="6" t="s">
        <v>186</v>
      </c>
      <c r="F7" s="45" t="n">
        <v>30</v>
      </c>
      <c r="G7" s="44" t="n">
        <v>150</v>
      </c>
      <c r="H7" s="44" t="n">
        <v>25</v>
      </c>
      <c r="I7" s="44" t="n">
        <v>12</v>
      </c>
      <c r="J7" s="44" t="n">
        <v>8</v>
      </c>
      <c r="K7" s="44" t="n">
        <f aca="false">SUM(G7:J7)</f>
        <v>195</v>
      </c>
      <c r="L7" s="44" t="n">
        <v>197</v>
      </c>
      <c r="M7" s="44" t="n">
        <f aca="false">K7-L7+N7</f>
        <v>0</v>
      </c>
      <c r="N7" s="44" t="n">
        <v>2</v>
      </c>
      <c r="O7" s="44" t="n">
        <v>14</v>
      </c>
      <c r="P7" s="45" t="n">
        <f aca="false">IF(OR($O7=0,$K7&lt;=0),"",ROUND($K7/($O7/7),0))</f>
        <v>98</v>
      </c>
      <c r="Q7" s="36"/>
      <c r="R7" s="35"/>
    </row>
    <row r="8" customFormat="false" ht="18" hidden="false" customHeight="true" outlineLevel="0" collapsed="false">
      <c r="A8" s="37" t="s">
        <v>136</v>
      </c>
      <c r="B8" s="72" t="s">
        <v>242</v>
      </c>
      <c r="C8" s="8" t="s">
        <v>173</v>
      </c>
      <c r="D8" s="48" t="s">
        <v>138</v>
      </c>
      <c r="E8" s="8" t="s">
        <v>174</v>
      </c>
      <c r="F8" s="50" t="n">
        <v>45</v>
      </c>
      <c r="G8" s="49" t="n">
        <v>0</v>
      </c>
      <c r="H8" s="49" t="n">
        <v>0</v>
      </c>
      <c r="I8" s="49" t="n">
        <v>3</v>
      </c>
      <c r="J8" s="49" t="n">
        <v>0</v>
      </c>
      <c r="K8" s="49" t="n">
        <f aca="false">SUM(G8:J8)</f>
        <v>3</v>
      </c>
      <c r="L8" s="49" t="n">
        <v>3</v>
      </c>
      <c r="M8" s="49" t="n">
        <f aca="false">K8-L8+N8</f>
        <v>0</v>
      </c>
      <c r="N8" s="49" t="n">
        <v>0</v>
      </c>
      <c r="O8" s="49" t="n">
        <v>0</v>
      </c>
      <c r="P8" s="50" t="str">
        <f aca="false">IF(OR($O8=0,$K8&lt;=0),"",ROUND($K8/($O8/7),0))</f>
        <v/>
      </c>
      <c r="Q8" s="37" t="s">
        <v>243</v>
      </c>
      <c r="R8" s="73"/>
    </row>
    <row r="9" customFormat="false" ht="18" hidden="false" customHeight="true" outlineLevel="0" collapsed="false">
      <c r="A9" s="36" t="s">
        <v>144</v>
      </c>
      <c r="B9" s="74" t="s">
        <v>244</v>
      </c>
      <c r="C9" s="6" t="s">
        <v>245</v>
      </c>
      <c r="D9" s="43" t="s">
        <v>138</v>
      </c>
      <c r="E9" s="6" t="s">
        <v>186</v>
      </c>
      <c r="F9" s="45" t="n">
        <v>25</v>
      </c>
      <c r="G9" s="44" t="n">
        <v>88</v>
      </c>
      <c r="H9" s="44" t="n">
        <v>18</v>
      </c>
      <c r="I9" s="44" t="n">
        <v>9</v>
      </c>
      <c r="J9" s="44" t="n">
        <v>5</v>
      </c>
      <c r="K9" s="44" t="n">
        <f aca="false">SUM(G9:J9)</f>
        <v>120</v>
      </c>
      <c r="L9" s="44" t="n">
        <v>121</v>
      </c>
      <c r="M9" s="44" t="n">
        <f aca="false">K9-L9+N9</f>
        <v>0</v>
      </c>
      <c r="N9" s="44" t="n">
        <v>1</v>
      </c>
      <c r="O9" s="44" t="n">
        <v>6</v>
      </c>
      <c r="P9" s="45" t="n">
        <f aca="false">IF(OR($O9=0,$K9&lt;=0),"",ROUND($K9/($O9/7),0))</f>
        <v>140</v>
      </c>
      <c r="Q9" s="36"/>
      <c r="R9" s="35"/>
    </row>
    <row r="10" customFormat="false" ht="18" hidden="false" customHeight="true" outlineLevel="0" collapsed="false">
      <c r="A10" s="37" t="s">
        <v>144</v>
      </c>
      <c r="B10" s="72" t="s">
        <v>246</v>
      </c>
      <c r="C10" s="8" t="s">
        <v>145</v>
      </c>
      <c r="D10" s="48" t="s">
        <v>138</v>
      </c>
      <c r="E10" s="8" t="s">
        <v>134</v>
      </c>
      <c r="F10" s="50" t="n">
        <v>25</v>
      </c>
      <c r="G10" s="49" t="n">
        <v>22</v>
      </c>
      <c r="H10" s="49" t="n">
        <v>4</v>
      </c>
      <c r="I10" s="49" t="n">
        <v>0</v>
      </c>
      <c r="J10" s="49" t="n">
        <v>2</v>
      </c>
      <c r="K10" s="49" t="n">
        <f aca="false">SUM(G10:J10)</f>
        <v>28</v>
      </c>
      <c r="L10" s="49" t="n">
        <v>29</v>
      </c>
      <c r="M10" s="49" t="n">
        <f aca="false">K10-L10+N10</f>
        <v>0</v>
      </c>
      <c r="N10" s="49" t="n">
        <v>1</v>
      </c>
      <c r="O10" s="49" t="n">
        <v>7</v>
      </c>
      <c r="P10" s="50" t="n">
        <f aca="false">IF(OR($O10=0,$K10&lt;=0),"",ROUND($K10/($O10/7),0))</f>
        <v>28</v>
      </c>
      <c r="Q10" s="8" t="s">
        <v>146</v>
      </c>
      <c r="R10" s="73"/>
    </row>
    <row r="11" customFormat="false" ht="18" hidden="false" customHeight="true" outlineLevel="0" collapsed="false">
      <c r="A11" s="36" t="s">
        <v>144</v>
      </c>
      <c r="B11" s="74" t="s">
        <v>247</v>
      </c>
      <c r="C11" s="6" t="s">
        <v>203</v>
      </c>
      <c r="D11" s="43" t="s">
        <v>138</v>
      </c>
      <c r="E11" s="6" t="s">
        <v>186</v>
      </c>
      <c r="F11" s="45" t="n">
        <v>35</v>
      </c>
      <c r="G11" s="44" t="n">
        <v>46</v>
      </c>
      <c r="H11" s="44" t="n">
        <v>10</v>
      </c>
      <c r="I11" s="44" t="n">
        <v>5</v>
      </c>
      <c r="J11" s="44" t="n">
        <v>3</v>
      </c>
      <c r="K11" s="44" t="n">
        <f aca="false">SUM(G11:J11)</f>
        <v>64</v>
      </c>
      <c r="L11" s="44" t="n">
        <v>65</v>
      </c>
      <c r="M11" s="44" t="n">
        <f aca="false">K11-L11+N11</f>
        <v>0</v>
      </c>
      <c r="N11" s="44" t="n">
        <v>1</v>
      </c>
      <c r="O11" s="44" t="n">
        <v>4</v>
      </c>
      <c r="P11" s="45" t="n">
        <f aca="false">IF(OR($O11=0,$K11&lt;=0),"",ROUND($K11/($O11/7),0))</f>
        <v>112</v>
      </c>
      <c r="Q11" s="36"/>
      <c r="R11" s="35"/>
    </row>
    <row r="12" customFormat="false" ht="18" hidden="false" customHeight="true" outlineLevel="0" collapsed="false">
      <c r="A12" s="37" t="s">
        <v>136</v>
      </c>
      <c r="B12" s="72" t="s">
        <v>248</v>
      </c>
      <c r="C12" s="8" t="s">
        <v>137</v>
      </c>
      <c r="D12" s="48" t="s">
        <v>138</v>
      </c>
      <c r="E12" s="8" t="s">
        <v>134</v>
      </c>
      <c r="F12" s="50" t="n">
        <v>40</v>
      </c>
      <c r="G12" s="49" t="n">
        <v>12</v>
      </c>
      <c r="H12" s="49" t="n">
        <v>2</v>
      </c>
      <c r="I12" s="49" t="n">
        <v>0</v>
      </c>
      <c r="J12" s="49" t="n">
        <v>0</v>
      </c>
      <c r="K12" s="49" t="n">
        <f aca="false">SUM(G12:J12)</f>
        <v>14</v>
      </c>
      <c r="L12" s="49" t="n">
        <v>15</v>
      </c>
      <c r="M12" s="49" t="n">
        <f aca="false">K12-L12+N12</f>
        <v>0</v>
      </c>
      <c r="N12" s="49" t="n">
        <v>1</v>
      </c>
      <c r="O12" s="49" t="n">
        <v>5</v>
      </c>
      <c r="P12" s="50" t="n">
        <f aca="false">IF(OR($O12=0,$K12&lt;=0),"",ROUND($K12/($O12/7),0))</f>
        <v>20</v>
      </c>
      <c r="Q12" s="8" t="s">
        <v>139</v>
      </c>
      <c r="R12" s="73"/>
    </row>
    <row r="13" customFormat="false" ht="18" hidden="false" customHeight="true" outlineLevel="0" collapsed="false">
      <c r="A13" s="36" t="s">
        <v>136</v>
      </c>
      <c r="B13" s="74" t="s">
        <v>249</v>
      </c>
      <c r="C13" s="6" t="s">
        <v>155</v>
      </c>
      <c r="D13" s="43" t="s">
        <v>138</v>
      </c>
      <c r="E13" s="6" t="s">
        <v>250</v>
      </c>
      <c r="F13" s="45" t="n">
        <v>40</v>
      </c>
      <c r="G13" s="44" t="n">
        <v>0</v>
      </c>
      <c r="H13" s="44" t="n">
        <v>0</v>
      </c>
      <c r="I13" s="44" t="n">
        <v>0</v>
      </c>
      <c r="J13" s="44" t="n">
        <v>0</v>
      </c>
      <c r="K13" s="44" t="n">
        <f aca="false">SUM(G13:J13)</f>
        <v>0</v>
      </c>
      <c r="L13" s="44" t="n">
        <v>0</v>
      </c>
      <c r="M13" s="44" t="n">
        <f aca="false">K13-L13+N13</f>
        <v>0</v>
      </c>
      <c r="N13" s="44" t="n">
        <v>0</v>
      </c>
      <c r="O13" s="44" t="n">
        <v>3</v>
      </c>
      <c r="P13" s="45" t="str">
        <f aca="false">IF(OR($O13=0,$K13&lt;=0),"",ROUND($K13/($O13/7),0))</f>
        <v/>
      </c>
      <c r="Q13" s="6" t="s">
        <v>157</v>
      </c>
      <c r="R13" s="35"/>
    </row>
    <row r="14" customFormat="false" ht="18" hidden="false" customHeight="true" outlineLevel="0" collapsed="false">
      <c r="A14" s="37" t="s">
        <v>136</v>
      </c>
      <c r="B14" s="72" t="s">
        <v>251</v>
      </c>
      <c r="C14" s="8" t="s">
        <v>176</v>
      </c>
      <c r="D14" s="48" t="s">
        <v>138</v>
      </c>
      <c r="E14" s="8" t="s">
        <v>174</v>
      </c>
      <c r="F14" s="50" t="n">
        <v>40</v>
      </c>
      <c r="G14" s="49" t="n">
        <v>2</v>
      </c>
      <c r="H14" s="49" t="n">
        <v>1</v>
      </c>
      <c r="I14" s="49" t="n">
        <v>0</v>
      </c>
      <c r="J14" s="49" t="n">
        <v>0</v>
      </c>
      <c r="K14" s="49" t="n">
        <f aca="false">SUM(G14:J14)</f>
        <v>3</v>
      </c>
      <c r="L14" s="49" t="n">
        <v>3</v>
      </c>
      <c r="M14" s="49" t="n">
        <f aca="false">K14-L14+N14</f>
        <v>0</v>
      </c>
      <c r="N14" s="49" t="n">
        <v>0</v>
      </c>
      <c r="O14" s="49" t="n">
        <v>0</v>
      </c>
      <c r="P14" s="50" t="str">
        <f aca="false">IF(OR($O14=0,$K14&lt;=0),"",ROUND($K14/($O14/7),0))</f>
        <v/>
      </c>
      <c r="Q14" s="37" t="s">
        <v>243</v>
      </c>
      <c r="R14" s="73"/>
    </row>
    <row r="15" customFormat="false" ht="18" hidden="false" customHeight="true" outlineLevel="0" collapsed="false">
      <c r="A15" s="36" t="s">
        <v>150</v>
      </c>
      <c r="B15" s="74" t="s">
        <v>252</v>
      </c>
      <c r="C15" s="6" t="s">
        <v>151</v>
      </c>
      <c r="D15" s="43" t="s">
        <v>133</v>
      </c>
      <c r="E15" s="6" t="s">
        <v>134</v>
      </c>
      <c r="F15" s="45" t="n">
        <v>45</v>
      </c>
      <c r="G15" s="44" t="n">
        <v>35</v>
      </c>
      <c r="H15" s="44" t="n">
        <v>10</v>
      </c>
      <c r="I15" s="44" t="n">
        <v>5</v>
      </c>
      <c r="J15" s="44" t="n">
        <v>4</v>
      </c>
      <c r="K15" s="44" t="n">
        <f aca="false">SUM(G15:J15)</f>
        <v>54</v>
      </c>
      <c r="L15" s="44" t="n">
        <v>57</v>
      </c>
      <c r="M15" s="44" t="n">
        <f aca="false">K15-L15+N15</f>
        <v>0</v>
      </c>
      <c r="N15" s="44" t="n">
        <v>3</v>
      </c>
      <c r="O15" s="44" t="n">
        <v>21</v>
      </c>
      <c r="P15" s="45" t="n">
        <f aca="false">IF(OR($O15=0,$K15&lt;=0),"",ROUND($K15/($O15/7),0))</f>
        <v>18</v>
      </c>
      <c r="Q15" s="6" t="s">
        <v>152</v>
      </c>
      <c r="R15" s="35"/>
    </row>
    <row r="16" customFormat="false" ht="18" hidden="false" customHeight="true" outlineLevel="0" collapsed="false">
      <c r="A16" s="37" t="s">
        <v>150</v>
      </c>
      <c r="B16" s="72" t="s">
        <v>253</v>
      </c>
      <c r="C16" s="8" t="s">
        <v>161</v>
      </c>
      <c r="D16" s="48" t="s">
        <v>133</v>
      </c>
      <c r="E16" s="8" t="s">
        <v>159</v>
      </c>
      <c r="F16" s="50" t="n">
        <v>45</v>
      </c>
      <c r="G16" s="49" t="n">
        <v>80</v>
      </c>
      <c r="H16" s="49" t="n">
        <v>14</v>
      </c>
      <c r="I16" s="49" t="n">
        <v>7</v>
      </c>
      <c r="J16" s="49" t="n">
        <v>5</v>
      </c>
      <c r="K16" s="49" t="n">
        <f aca="false">SUM(G16:J16)</f>
        <v>106</v>
      </c>
      <c r="L16" s="49" t="n">
        <v>109</v>
      </c>
      <c r="M16" s="49" t="n">
        <f aca="false">K16-L16+N16</f>
        <v>0</v>
      </c>
      <c r="N16" s="49" t="n">
        <v>3</v>
      </c>
      <c r="O16" s="49" t="n">
        <v>21</v>
      </c>
      <c r="P16" s="50" t="n">
        <f aca="false">IF(OR($O16=0,$K16&lt;=0),"",ROUND($K16/($O16/7),0))</f>
        <v>35</v>
      </c>
      <c r="Q16" s="8" t="s">
        <v>162</v>
      </c>
      <c r="R16" s="73"/>
    </row>
    <row r="17" customFormat="false" ht="18" hidden="false" customHeight="true" outlineLevel="0" collapsed="false">
      <c r="A17" s="36" t="s">
        <v>197</v>
      </c>
      <c r="B17" s="74" t="s">
        <v>254</v>
      </c>
      <c r="C17" s="6" t="s">
        <v>255</v>
      </c>
      <c r="D17" s="43" t="s">
        <v>133</v>
      </c>
      <c r="E17" s="6" t="s">
        <v>186</v>
      </c>
      <c r="F17" s="45" t="n">
        <v>40</v>
      </c>
      <c r="G17" s="44" t="n">
        <v>120</v>
      </c>
      <c r="H17" s="44" t="n">
        <v>20</v>
      </c>
      <c r="I17" s="44" t="n">
        <v>10</v>
      </c>
      <c r="J17" s="44" t="n">
        <v>6</v>
      </c>
      <c r="K17" s="44" t="n">
        <f aca="false">SUM(G17:J17)</f>
        <v>156</v>
      </c>
      <c r="L17" s="44" t="n">
        <v>98</v>
      </c>
      <c r="M17" s="44" t="n">
        <f aca="false">K17-L17+N17</f>
        <v>60</v>
      </c>
      <c r="N17" s="44" t="n">
        <v>2</v>
      </c>
      <c r="O17" s="44" t="n">
        <v>14</v>
      </c>
      <c r="P17" s="45" t="n">
        <f aca="false">IF(OR($O17=0,$K17&lt;=0),"",ROUND($K17/($O17/7),0))</f>
        <v>78</v>
      </c>
      <c r="Q17" s="6"/>
      <c r="R17" s="35"/>
    </row>
    <row r="18" customFormat="false" ht="18" hidden="false" customHeight="true" outlineLevel="0" collapsed="false">
      <c r="A18" s="37" t="s">
        <v>197</v>
      </c>
      <c r="B18" s="72" t="s">
        <v>256</v>
      </c>
      <c r="C18" s="8" t="s">
        <v>198</v>
      </c>
      <c r="D18" s="48" t="s">
        <v>133</v>
      </c>
      <c r="E18" s="8" t="s">
        <v>194</v>
      </c>
      <c r="F18" s="50" t="n">
        <v>40</v>
      </c>
      <c r="G18" s="49" t="n">
        <v>300</v>
      </c>
      <c r="H18" s="49" t="n">
        <v>40</v>
      </c>
      <c r="I18" s="49" t="n">
        <v>20</v>
      </c>
      <c r="J18" s="49" t="n">
        <v>12</v>
      </c>
      <c r="K18" s="49" t="n">
        <f aca="false">SUM(G18:J18)</f>
        <v>372</v>
      </c>
      <c r="L18" s="49" t="n">
        <v>373</v>
      </c>
      <c r="M18" s="49" t="n">
        <f aca="false">K18-L18+N18</f>
        <v>0</v>
      </c>
      <c r="N18" s="49" t="n">
        <v>1</v>
      </c>
      <c r="O18" s="49" t="n">
        <v>7</v>
      </c>
      <c r="P18" s="50" t="n">
        <f aca="false">IF(OR($O18=0,$K18&lt;=0),"",ROUND($K18/($O18/7),0))</f>
        <v>372</v>
      </c>
      <c r="Q18" s="8" t="s">
        <v>257</v>
      </c>
      <c r="R18" s="73"/>
    </row>
    <row r="19" customFormat="false" ht="18" hidden="false" customHeight="true" outlineLevel="0" collapsed="false">
      <c r="A19" s="36" t="s">
        <v>147</v>
      </c>
      <c r="B19" s="74" t="s">
        <v>258</v>
      </c>
      <c r="C19" s="6" t="s">
        <v>148</v>
      </c>
      <c r="D19" s="43" t="s">
        <v>133</v>
      </c>
      <c r="E19" s="6" t="s">
        <v>134</v>
      </c>
      <c r="F19" s="45" t="n">
        <v>35</v>
      </c>
      <c r="G19" s="44" t="n">
        <v>24</v>
      </c>
      <c r="H19" s="44" t="n">
        <v>6</v>
      </c>
      <c r="I19" s="44" t="n">
        <v>0</v>
      </c>
      <c r="J19" s="44" t="n">
        <v>3</v>
      </c>
      <c r="K19" s="44" t="n">
        <f aca="false">SUM(G19:J19)</f>
        <v>33</v>
      </c>
      <c r="L19" s="44" t="n">
        <v>37</v>
      </c>
      <c r="M19" s="44" t="n">
        <f aca="false">K19-L19+N19</f>
        <v>0</v>
      </c>
      <c r="N19" s="44" t="n">
        <v>4</v>
      </c>
      <c r="O19" s="44" t="n">
        <v>28</v>
      </c>
      <c r="P19" s="45" t="n">
        <f aca="false">IF(OR($O19=0,$K19&lt;=0),"",ROUND($K19/($O19/7),0))</f>
        <v>8</v>
      </c>
      <c r="Q19" s="6" t="s">
        <v>149</v>
      </c>
      <c r="R19" s="35"/>
    </row>
    <row r="20" customFormat="false" ht="18" hidden="false" customHeight="true" outlineLevel="0" collapsed="false">
      <c r="A20" s="37" t="s">
        <v>147</v>
      </c>
      <c r="B20" s="72" t="s">
        <v>259</v>
      </c>
      <c r="C20" s="8" t="s">
        <v>193</v>
      </c>
      <c r="D20" s="48" t="s">
        <v>133</v>
      </c>
      <c r="E20" s="8" t="s">
        <v>186</v>
      </c>
      <c r="F20" s="50" t="n">
        <v>35</v>
      </c>
      <c r="G20" s="49" t="n">
        <v>96</v>
      </c>
      <c r="H20" s="49" t="n">
        <v>16</v>
      </c>
      <c r="I20" s="49" t="n">
        <v>8</v>
      </c>
      <c r="J20" s="49" t="n">
        <v>6</v>
      </c>
      <c r="K20" s="49" t="n">
        <f aca="false">SUM(G20:J20)</f>
        <v>126</v>
      </c>
      <c r="L20" s="49" t="n">
        <v>128</v>
      </c>
      <c r="M20" s="49" t="n">
        <f aca="false">K20-L20+N20</f>
        <v>0</v>
      </c>
      <c r="N20" s="49" t="n">
        <v>2</v>
      </c>
      <c r="O20" s="49" t="n">
        <v>14</v>
      </c>
      <c r="P20" s="50" t="n">
        <f aca="false">IF(OR($O20=0,$K20&lt;=0),"",ROUND($K20/($O20/7),0))</f>
        <v>63</v>
      </c>
      <c r="Q20" s="8"/>
      <c r="R20" s="73"/>
    </row>
    <row r="21" customFormat="false" ht="18" hidden="false" customHeight="true" outlineLevel="0" collapsed="false">
      <c r="A21" s="36" t="s">
        <v>131</v>
      </c>
      <c r="B21" s="74" t="s">
        <v>260</v>
      </c>
      <c r="C21" s="6" t="s">
        <v>132</v>
      </c>
      <c r="D21" s="43" t="s">
        <v>133</v>
      </c>
      <c r="E21" s="6" t="s">
        <v>134</v>
      </c>
      <c r="F21" s="45" t="n">
        <v>50</v>
      </c>
      <c r="G21" s="44" t="n">
        <v>0</v>
      </c>
      <c r="H21" s="44" t="n">
        <v>5</v>
      </c>
      <c r="I21" s="44" t="n">
        <v>2</v>
      </c>
      <c r="J21" s="44" t="n">
        <v>0</v>
      </c>
      <c r="K21" s="44" t="n">
        <f aca="false">SUM(G21:J21)</f>
        <v>7</v>
      </c>
      <c r="L21" s="44" t="n">
        <v>8</v>
      </c>
      <c r="M21" s="44" t="n">
        <f aca="false">K21-L21+N21</f>
        <v>0</v>
      </c>
      <c r="N21" s="44" t="n">
        <v>1</v>
      </c>
      <c r="O21" s="44" t="n">
        <v>10</v>
      </c>
      <c r="P21" s="45" t="n">
        <f aca="false">IF(OR($O21=0,$K21&lt;=0),"",ROUND($K21/($O21/7),0))</f>
        <v>5</v>
      </c>
      <c r="Q21" s="6" t="s">
        <v>135</v>
      </c>
      <c r="R21" s="35"/>
    </row>
    <row r="22" customFormat="false" ht="18" hidden="false" customHeight="true" outlineLevel="0" collapsed="false">
      <c r="A22" s="37" t="s">
        <v>189</v>
      </c>
      <c r="B22" s="72" t="s">
        <v>261</v>
      </c>
      <c r="C22" s="8" t="s">
        <v>190</v>
      </c>
      <c r="D22" s="48" t="s">
        <v>133</v>
      </c>
      <c r="E22" s="8" t="s">
        <v>186</v>
      </c>
      <c r="F22" s="50" t="n">
        <v>35</v>
      </c>
      <c r="G22" s="49" t="n">
        <v>140</v>
      </c>
      <c r="H22" s="49" t="n">
        <v>24</v>
      </c>
      <c r="I22" s="49" t="n">
        <v>12</v>
      </c>
      <c r="J22" s="49" t="n">
        <v>8</v>
      </c>
      <c r="K22" s="49" t="n">
        <f aca="false">SUM(G22:J22)</f>
        <v>184</v>
      </c>
      <c r="L22" s="49" t="n">
        <v>186</v>
      </c>
      <c r="M22" s="49" t="n">
        <f aca="false">K22-L22+N22</f>
        <v>0</v>
      </c>
      <c r="N22" s="49" t="n">
        <v>2</v>
      </c>
      <c r="O22" s="49" t="n">
        <v>17</v>
      </c>
      <c r="P22" s="50" t="n">
        <f aca="false">IF(OR($O22=0,$K22&lt;=0),"",ROUND($K22/($O22/7),0))</f>
        <v>76</v>
      </c>
      <c r="Q22" s="8"/>
      <c r="R22" s="73"/>
    </row>
    <row r="23" customFormat="false" ht="18" hidden="false" customHeight="true" outlineLevel="0" collapsed="false">
      <c r="A23" s="36" t="s">
        <v>189</v>
      </c>
      <c r="B23" s="74" t="s">
        <v>262</v>
      </c>
      <c r="C23" s="6" t="s">
        <v>205</v>
      </c>
      <c r="D23" s="43" t="s">
        <v>133</v>
      </c>
      <c r="E23" s="6" t="s">
        <v>186</v>
      </c>
      <c r="F23" s="45" t="n">
        <v>35</v>
      </c>
      <c r="G23" s="44" t="n">
        <v>62</v>
      </c>
      <c r="H23" s="44" t="n">
        <v>12</v>
      </c>
      <c r="I23" s="44" t="n">
        <v>6</v>
      </c>
      <c r="J23" s="44" t="n">
        <v>4</v>
      </c>
      <c r="K23" s="44" t="n">
        <f aca="false">SUM(G23:J23)</f>
        <v>84</v>
      </c>
      <c r="L23" s="44" t="n">
        <v>85</v>
      </c>
      <c r="M23" s="44" t="n">
        <f aca="false">K23-L23+N23</f>
        <v>0</v>
      </c>
      <c r="N23" s="44" t="n">
        <v>1</v>
      </c>
      <c r="O23" s="44" t="n">
        <v>9</v>
      </c>
      <c r="P23" s="45" t="n">
        <f aca="false">IF(OR($O23=0,$K23&lt;=0),"",ROUND($K23/($O23/7),0))</f>
        <v>65</v>
      </c>
      <c r="Q23" s="6"/>
      <c r="R23" s="35"/>
    </row>
    <row r="24" customFormat="false" ht="18" hidden="false" customHeight="true" outlineLevel="0" collapsed="false">
      <c r="A24" s="37" t="s">
        <v>165</v>
      </c>
      <c r="B24" s="72" t="s">
        <v>263</v>
      </c>
      <c r="C24" s="8" t="s">
        <v>166</v>
      </c>
      <c r="D24" s="48" t="s">
        <v>133</v>
      </c>
      <c r="E24" s="8" t="s">
        <v>264</v>
      </c>
      <c r="F24" s="50" t="n">
        <v>30</v>
      </c>
      <c r="G24" s="49" t="n">
        <v>0</v>
      </c>
      <c r="H24" s="49" t="n">
        <v>0</v>
      </c>
      <c r="I24" s="49" t="n">
        <v>0</v>
      </c>
      <c r="J24" s="49" t="n">
        <v>0</v>
      </c>
      <c r="K24" s="49" t="n">
        <f aca="false">SUM(G24:J24)</f>
        <v>0</v>
      </c>
      <c r="L24" s="49" t="n">
        <v>0</v>
      </c>
      <c r="M24" s="49" t="n">
        <f aca="false">K24-L24+N24</f>
        <v>0</v>
      </c>
      <c r="N24" s="49" t="n">
        <v>0</v>
      </c>
      <c r="O24" s="49" t="n">
        <v>2</v>
      </c>
      <c r="P24" s="50" t="str">
        <f aca="false">IF(OR($O24=0,$K24&lt;=0),"",ROUND($K24/($O24/7),0))</f>
        <v/>
      </c>
      <c r="Q24" s="8" t="s">
        <v>168</v>
      </c>
      <c r="R24" s="73"/>
    </row>
    <row r="25" customFormat="false" ht="18" hidden="false" customHeight="true" outlineLevel="0" collapsed="false">
      <c r="A25" s="36" t="s">
        <v>165</v>
      </c>
      <c r="B25" s="74" t="s">
        <v>265</v>
      </c>
      <c r="C25" s="6" t="s">
        <v>178</v>
      </c>
      <c r="D25" s="43" t="s">
        <v>133</v>
      </c>
      <c r="E25" s="6" t="s">
        <v>174</v>
      </c>
      <c r="F25" s="45" t="n">
        <v>30</v>
      </c>
      <c r="G25" s="44" t="n">
        <v>3</v>
      </c>
      <c r="H25" s="44" t="n">
        <v>0</v>
      </c>
      <c r="I25" s="44" t="n">
        <v>1</v>
      </c>
      <c r="J25" s="44" t="n">
        <v>0</v>
      </c>
      <c r="K25" s="44" t="n">
        <f aca="false">SUM(G25:J25)</f>
        <v>4</v>
      </c>
      <c r="L25" s="44" t="n">
        <v>4</v>
      </c>
      <c r="M25" s="44" t="n">
        <f aca="false">K25-L25+N25</f>
        <v>0</v>
      </c>
      <c r="N25" s="44" t="n">
        <v>0</v>
      </c>
      <c r="O25" s="44" t="n">
        <v>0</v>
      </c>
      <c r="P25" s="45" t="str">
        <f aca="false">IF(OR($O25=0,$K25&lt;=0),"",ROUND($K25/($O25/7),0))</f>
        <v/>
      </c>
      <c r="Q25" s="36" t="s">
        <v>243</v>
      </c>
      <c r="R25" s="35"/>
    </row>
    <row r="26" customFormat="false" ht="18" hidden="false" customHeight="true" outlineLevel="0" collapsed="false">
      <c r="A26" s="8" t="s">
        <v>142</v>
      </c>
      <c r="B26" s="72" t="s">
        <v>266</v>
      </c>
      <c r="C26" s="8" t="s">
        <v>158</v>
      </c>
      <c r="D26" s="48" t="s">
        <v>125</v>
      </c>
      <c r="E26" s="8" t="s">
        <v>159</v>
      </c>
      <c r="F26" s="50" t="n">
        <v>5</v>
      </c>
      <c r="G26" s="49" t="n">
        <v>46</v>
      </c>
      <c r="H26" s="49" t="n">
        <v>8</v>
      </c>
      <c r="I26" s="49" t="n">
        <v>4</v>
      </c>
      <c r="J26" s="49" t="n">
        <v>3</v>
      </c>
      <c r="K26" s="49" t="n">
        <f aca="false">SUM(G26:J26)</f>
        <v>61</v>
      </c>
      <c r="L26" s="49" t="n">
        <v>66</v>
      </c>
      <c r="M26" s="49" t="n">
        <f aca="false">K26-L26+N26</f>
        <v>0</v>
      </c>
      <c r="N26" s="49" t="n">
        <v>5</v>
      </c>
      <c r="O26" s="49" t="n">
        <v>35</v>
      </c>
      <c r="P26" s="50" t="n">
        <f aca="false">IF(OR($O26=0,$K26&lt;=0),"",ROUND($K26/($O26/7),0))</f>
        <v>12</v>
      </c>
      <c r="Q26" s="8" t="s">
        <v>160</v>
      </c>
      <c r="R26" s="73"/>
    </row>
    <row r="27" customFormat="false" ht="18" hidden="false" customHeight="true" outlineLevel="0" collapsed="false">
      <c r="A27" s="6" t="s">
        <v>142</v>
      </c>
      <c r="B27" s="74" t="s">
        <v>267</v>
      </c>
      <c r="C27" s="6" t="s">
        <v>143</v>
      </c>
      <c r="D27" s="43" t="s">
        <v>125</v>
      </c>
      <c r="E27" s="6" t="s">
        <v>134</v>
      </c>
      <c r="F27" s="45" t="n">
        <v>5</v>
      </c>
      <c r="G27" s="44" t="n">
        <v>18</v>
      </c>
      <c r="H27" s="44" t="n">
        <v>4</v>
      </c>
      <c r="I27" s="44" t="n">
        <v>2</v>
      </c>
      <c r="J27" s="44" t="n">
        <v>1</v>
      </c>
      <c r="K27" s="44" t="n">
        <f aca="false">SUM(G27:J27)</f>
        <v>25</v>
      </c>
      <c r="L27" s="44" t="n">
        <v>31</v>
      </c>
      <c r="M27" s="44" t="n">
        <f aca="false">K27-L27+N27</f>
        <v>0</v>
      </c>
      <c r="N27" s="44" t="n">
        <v>6</v>
      </c>
      <c r="O27" s="44" t="n">
        <v>42</v>
      </c>
      <c r="P27" s="45" t="n">
        <f aca="false">IF(OR($O27=0,$K27&lt;=0),"",ROUND($K27/($O27/7),0))</f>
        <v>4</v>
      </c>
      <c r="Q27" s="6" t="s">
        <v>141</v>
      </c>
      <c r="R27" s="35"/>
    </row>
    <row r="28" customFormat="false" ht="18" hidden="false" customHeight="true" outlineLevel="0" collapsed="false">
      <c r="A28" s="8" t="s">
        <v>187</v>
      </c>
      <c r="B28" s="72" t="s">
        <v>268</v>
      </c>
      <c r="C28" s="8" t="s">
        <v>188</v>
      </c>
      <c r="D28" s="48" t="s">
        <v>125</v>
      </c>
      <c r="E28" s="8" t="s">
        <v>186</v>
      </c>
      <c r="F28" s="50" t="n">
        <v>7</v>
      </c>
      <c r="G28" s="49" t="n">
        <v>130</v>
      </c>
      <c r="H28" s="49" t="n">
        <v>20</v>
      </c>
      <c r="I28" s="49" t="n">
        <v>10</v>
      </c>
      <c r="J28" s="49" t="n">
        <v>7</v>
      </c>
      <c r="K28" s="49" t="n">
        <f aca="false">SUM(G28:J28)</f>
        <v>167</v>
      </c>
      <c r="L28" s="49" t="n">
        <v>70</v>
      </c>
      <c r="M28" s="49" t="n">
        <f aca="false">K28-L28+N28</f>
        <v>100</v>
      </c>
      <c r="N28" s="49" t="n">
        <v>3</v>
      </c>
      <c r="O28" s="49" t="n">
        <v>21</v>
      </c>
      <c r="P28" s="50" t="n">
        <f aca="false">IF(OR($O28=0,$K28&lt;=0),"",ROUND($K28/($O28/7),0))</f>
        <v>56</v>
      </c>
      <c r="Q28" s="8"/>
      <c r="R28" s="73"/>
    </row>
    <row r="29" customFormat="false" ht="18" hidden="false" customHeight="true" outlineLevel="0" collapsed="false">
      <c r="A29" s="6" t="s">
        <v>184</v>
      </c>
      <c r="B29" s="74" t="s">
        <v>269</v>
      </c>
      <c r="C29" s="6" t="s">
        <v>185</v>
      </c>
      <c r="D29" s="43" t="s">
        <v>125</v>
      </c>
      <c r="E29" s="6" t="s">
        <v>186</v>
      </c>
      <c r="F29" s="45" t="n">
        <v>7</v>
      </c>
      <c r="G29" s="44" t="n">
        <v>88</v>
      </c>
      <c r="H29" s="44" t="n">
        <v>14</v>
      </c>
      <c r="I29" s="44" t="n">
        <v>7</v>
      </c>
      <c r="J29" s="44" t="n">
        <v>5</v>
      </c>
      <c r="K29" s="44" t="n">
        <f aca="false">SUM(G29:J29)</f>
        <v>114</v>
      </c>
      <c r="L29" s="44" t="n">
        <v>118</v>
      </c>
      <c r="M29" s="44" t="n">
        <f aca="false">K29-L29+N29</f>
        <v>0</v>
      </c>
      <c r="N29" s="44" t="n">
        <v>4</v>
      </c>
      <c r="O29" s="44" t="n">
        <v>28</v>
      </c>
      <c r="P29" s="45" t="n">
        <f aca="false">IF(OR($O29=0,$K29&lt;=0),"",ROUND($K29/($O29/7),0))</f>
        <v>29</v>
      </c>
      <c r="Q29" s="6"/>
      <c r="R29" s="35"/>
    </row>
    <row r="30" customFormat="false" ht="18" hidden="false" customHeight="true" outlineLevel="0" collapsed="false">
      <c r="A30" s="8" t="s">
        <v>123</v>
      </c>
      <c r="B30" s="72" t="s">
        <v>270</v>
      </c>
      <c r="C30" s="8" t="s">
        <v>207</v>
      </c>
      <c r="D30" s="48" t="s">
        <v>125</v>
      </c>
      <c r="E30" s="8" t="s">
        <v>194</v>
      </c>
      <c r="F30" s="50" t="n">
        <v>10</v>
      </c>
      <c r="G30" s="49" t="n">
        <v>240</v>
      </c>
      <c r="H30" s="49" t="n">
        <v>30</v>
      </c>
      <c r="I30" s="49" t="n">
        <v>15</v>
      </c>
      <c r="J30" s="49" t="n">
        <v>10</v>
      </c>
      <c r="K30" s="49" t="n">
        <f aca="false">SUM(G30:J30)</f>
        <v>295</v>
      </c>
      <c r="L30" s="49" t="n">
        <v>296</v>
      </c>
      <c r="M30" s="49" t="n">
        <f aca="false">K30-L30+N30</f>
        <v>0</v>
      </c>
      <c r="N30" s="49" t="n">
        <v>1</v>
      </c>
      <c r="O30" s="49" t="n">
        <v>7</v>
      </c>
      <c r="P30" s="50" t="n">
        <f aca="false">IF(OR($O30=0,$K30&lt;=0),"",ROUND($K30/($O30/7),0))</f>
        <v>295</v>
      </c>
      <c r="Q30" s="8" t="s">
        <v>271</v>
      </c>
      <c r="R30" s="73"/>
    </row>
    <row r="31" customFormat="false" ht="18" hidden="false" customHeight="true" outlineLevel="0" collapsed="false">
      <c r="A31" s="6" t="s">
        <v>123</v>
      </c>
      <c r="B31" s="74" t="s">
        <v>272</v>
      </c>
      <c r="C31" s="6" t="s">
        <v>140</v>
      </c>
      <c r="D31" s="43" t="s">
        <v>125</v>
      </c>
      <c r="E31" s="6" t="s">
        <v>134</v>
      </c>
      <c r="F31" s="45" t="n">
        <v>10</v>
      </c>
      <c r="G31" s="44" t="n">
        <v>12</v>
      </c>
      <c r="H31" s="44" t="n">
        <v>2</v>
      </c>
      <c r="I31" s="44" t="n">
        <v>0</v>
      </c>
      <c r="J31" s="44" t="n">
        <v>1</v>
      </c>
      <c r="K31" s="44" t="n">
        <f aca="false">SUM(G31:J31)</f>
        <v>15</v>
      </c>
      <c r="L31" s="44" t="n">
        <v>19</v>
      </c>
      <c r="M31" s="44" t="n">
        <f aca="false">K31-L31+N31</f>
        <v>0</v>
      </c>
      <c r="N31" s="44" t="n">
        <v>4</v>
      </c>
      <c r="O31" s="44" t="n">
        <v>28</v>
      </c>
      <c r="P31" s="45" t="n">
        <f aca="false">IF(OR($O31=0,$K31&lt;=0),"",ROUND($K31/($O31/7),0))</f>
        <v>4</v>
      </c>
      <c r="Q31" s="6" t="s">
        <v>141</v>
      </c>
      <c r="R31" s="35"/>
    </row>
    <row r="32" customFormat="false" ht="18" hidden="false" customHeight="true" outlineLevel="0" collapsed="false">
      <c r="A32" s="8" t="s">
        <v>123</v>
      </c>
      <c r="B32" s="72" t="s">
        <v>273</v>
      </c>
      <c r="C32" s="8" t="s">
        <v>209</v>
      </c>
      <c r="D32" s="48" t="s">
        <v>125</v>
      </c>
      <c r="E32" s="8" t="s">
        <v>186</v>
      </c>
      <c r="F32" s="50" t="n">
        <v>10</v>
      </c>
      <c r="G32" s="49" t="n">
        <v>175</v>
      </c>
      <c r="H32" s="49" t="n">
        <v>25</v>
      </c>
      <c r="I32" s="49" t="n">
        <v>12</v>
      </c>
      <c r="J32" s="49" t="n">
        <v>8</v>
      </c>
      <c r="K32" s="49" t="n">
        <f aca="false">SUM(G32:J32)</f>
        <v>220</v>
      </c>
      <c r="L32" s="49" t="n">
        <v>222</v>
      </c>
      <c r="M32" s="49" t="n">
        <f aca="false">K32-L32+N32</f>
        <v>0</v>
      </c>
      <c r="N32" s="49" t="n">
        <v>2</v>
      </c>
      <c r="O32" s="49" t="n">
        <v>14</v>
      </c>
      <c r="P32" s="50" t="n">
        <f aca="false">IF(OR($O32=0,$K32&lt;=0),"",ROUND($K32/($O32/7),0))</f>
        <v>110</v>
      </c>
      <c r="Q32" s="8"/>
      <c r="R32" s="73"/>
    </row>
    <row r="33" customFormat="false" ht="18" hidden="false" customHeight="true" outlineLevel="0" collapsed="false">
      <c r="A33" s="6" t="s">
        <v>123</v>
      </c>
      <c r="B33" s="74" t="s">
        <v>274</v>
      </c>
      <c r="C33" s="6" t="s">
        <v>128</v>
      </c>
      <c r="D33" s="43" t="s">
        <v>125</v>
      </c>
      <c r="E33" s="6" t="s">
        <v>275</v>
      </c>
      <c r="F33" s="45" t="n">
        <v>10</v>
      </c>
      <c r="G33" s="44" t="n">
        <v>0</v>
      </c>
      <c r="H33" s="44" t="n">
        <v>0</v>
      </c>
      <c r="I33" s="44" t="n">
        <v>0</v>
      </c>
      <c r="J33" s="44" t="n">
        <v>0</v>
      </c>
      <c r="K33" s="44" t="n">
        <f aca="false">SUM(G33:J33)</f>
        <v>0</v>
      </c>
      <c r="L33" s="44" t="n">
        <v>1</v>
      </c>
      <c r="M33" s="44" t="n">
        <f aca="false">K33-L33+N33</f>
        <v>0</v>
      </c>
      <c r="N33" s="44" t="n">
        <v>1</v>
      </c>
      <c r="O33" s="44" t="n">
        <v>5</v>
      </c>
      <c r="P33" s="45" t="str">
        <f aca="false">IF(OR($O33=0,$K33&lt;=0),"",ROUND($K33/($O33/7),0))</f>
        <v/>
      </c>
      <c r="Q33" s="6" t="s">
        <v>130</v>
      </c>
      <c r="R33" s="35"/>
    </row>
    <row r="34" customFormat="false" ht="18" hidden="false" customHeight="true" outlineLevel="0" collapsed="false">
      <c r="A34" s="8" t="s">
        <v>123</v>
      </c>
      <c r="B34" s="72" t="s">
        <v>276</v>
      </c>
      <c r="C34" s="8" t="s">
        <v>124</v>
      </c>
      <c r="D34" s="48" t="s">
        <v>125</v>
      </c>
      <c r="E34" s="8" t="s">
        <v>126</v>
      </c>
      <c r="F34" s="50" t="n">
        <v>10</v>
      </c>
      <c r="G34" s="49" t="n">
        <v>-2</v>
      </c>
      <c r="H34" s="49" t="n">
        <v>0</v>
      </c>
      <c r="I34" s="49" t="n">
        <v>0</v>
      </c>
      <c r="J34" s="49" t="n">
        <v>0</v>
      </c>
      <c r="K34" s="49" t="n">
        <f aca="false">SUM(G34:J34)</f>
        <v>-2</v>
      </c>
      <c r="L34" s="49" t="n">
        <v>0</v>
      </c>
      <c r="M34" s="49" t="n">
        <f aca="false">K34-L34+N34</f>
        <v>0</v>
      </c>
      <c r="N34" s="49" t="n">
        <v>2</v>
      </c>
      <c r="O34" s="49" t="n">
        <v>12</v>
      </c>
      <c r="P34" s="50" t="str">
        <f aca="false">IF(OR($O34=0,$K34&lt;=0),"",ROUND($K34/($O34/7),0))</f>
        <v/>
      </c>
      <c r="Q34" s="8" t="s">
        <v>127</v>
      </c>
      <c r="R34" s="73"/>
    </row>
  </sheetData>
  <mergeCells count="3">
    <mergeCell ref="A1:R1"/>
    <mergeCell ref="A2:I2"/>
    <mergeCell ref="J2:R2"/>
  </mergeCells>
  <conditionalFormatting sqref="E4:E34">
    <cfRule type="expression" priority="2" aboveAverage="0" equalAverage="0" bottom="0" percent="0" rank="0" text="" dxfId="0">
      <formula>OR(ISNUMBER(SEARCH("초과주문",$E4)),ISNUMBER(SEARCH("위험",$E4)),ISNUMBER(SEARCH("품절-신규",$E4)))</formula>
    </cfRule>
    <cfRule type="expression" priority="3" aboveAverage="0" equalAverage="0" bottom="0" percent="0" rank="0" text="" dxfId="1">
      <formula>OR(ISNUMBER(SEARCH("주의",$E4)),ISNUMBER(SEARCH("품절-지속",$E4)))</formula>
    </cfRule>
    <cfRule type="expression" priority="4" aboveAverage="0" equalAverage="0" bottom="0" percent="0" rank="0" text="" dxfId="2">
      <formula>OR(ISNUMBER(SEARCH("재고소량",$E4)))</formula>
    </cfRule>
    <cfRule type="expression" priority="5" aboveAverage="0" equalAverage="0" bottom="0" percent="0" rank="0" text="" dxfId="3">
      <formula>OR(ISNUMBER(SEARCH("과잉",$E4)))</formula>
    </cfRule>
  </conditionalFormatting>
  <conditionalFormatting sqref="P4:P34">
    <cfRule type="expression" priority="6" aboveAverage="0" equalAverage="0" bottom="0" percent="0" rank="0" text="" dxfId="0">
      <formula>OR(ISNUMBER(SEARCH("초과주문",$E4)),ISNUMBER(SEARCH("위험",$E4)),ISNUMBER(SEARCH("품절-신규",$E4)))</formula>
    </cfRule>
    <cfRule type="expression" priority="7" aboveAverage="0" equalAverage="0" bottom="0" percent="0" rank="0" text="" dxfId="1">
      <formula>OR(ISNUMBER(SEARCH("주의",$E4)),ISNUMBER(SEARCH("품절-지속",$E4)))</formula>
    </cfRule>
    <cfRule type="expression" priority="8" aboveAverage="0" equalAverage="0" bottom="0" percent="0" rank="0" text="" dxfId="2">
      <formula>OR(ISNUMBER(SEARCH("재고소량",$E4)))</formula>
    </cfRule>
    <cfRule type="expression" priority="9" aboveAverage="0" equalAverage="0" bottom="0" percent="0" rank="0" text="" dxfId="3">
      <formula>OR(ISNUMBER(SEARCH("과잉",$E4)))</formula>
    </cfRule>
  </conditionalFormatting>
  <conditionalFormatting sqref="Q4:Q34">
    <cfRule type="expression" priority="10" aboveAverage="0" equalAverage="0" bottom="0" percent="0" rank="0" text="" dxfId="0">
      <formula>OR(ISNUMBER(SEARCH("초과주문",$E4)),ISNUMBER(SEARCH("위험",$E4)),ISNUMBER(SEARCH("품절-신규",$E4)))</formula>
    </cfRule>
    <cfRule type="expression" priority="11" aboveAverage="0" equalAverage="0" bottom="0" percent="0" rank="0" text="" dxfId="1">
      <formula>OR(ISNUMBER(SEARCH("주의",$E4)),ISNUMBER(SEARCH("품절-지속",$E4)))</formula>
    </cfRule>
    <cfRule type="expression" priority="12" aboveAverage="0" equalAverage="0" bottom="0" percent="0" rank="0" text="" dxfId="2">
      <formula>OR(ISNUMBER(SEARCH("재고소량",$E4)))</formula>
    </cfRule>
    <cfRule type="expression" priority="13" aboveAverage="0" equalAverage="0" bottom="0" percent="0" rank="0" text="" dxfId="3">
      <formula>OR(ISNUMBER(SEARCH("과잉",$E4)))</formula>
    </cfRule>
  </conditionalFormatting>
  <conditionalFormatting sqref="A4:R34">
    <cfRule type="expression" priority="14" aboveAverage="0" equalAverage="0" bottom="0" percent="0" rank="0" text="" dxfId="4">
      <formula>OR(ISNUMBER(SEARCH("품절-장기",$E4)))</formula>
    </cfRule>
  </conditionalFormatting>
  <conditionalFormatting sqref="C4:C34">
    <cfRule type="expression" priority="15" aboveAverage="0" equalAverage="0" bottom="0" percent="0" rank="0" text="" dxfId="5">
      <formula>OR(ISNUMBER(SEARCH("초과주문",$E4)),ISNUMBER(SEARCH("위험",$E4)),ISNUMBER(SEARCH("품절-신규",$E4)))</formula>
    </cfRule>
  </conditionalFormatting>
  <conditionalFormatting sqref="G4:J34">
    <cfRule type="expression" priority="16" aboveAverage="0" equalAverage="0" bottom="0" percent="0" rank="0" text="" dxfId="6">
      <formula>AND(G4=0,$K4&gt;0)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1A"/>
    <pageSetUpPr fitToPage="false"/>
  </sheetPr>
  <dimension ref="A1: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31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9"/>
    <col collapsed="false" customWidth="true" hidden="false" outlineLevel="0" max="11" min="10" style="0" width="14"/>
    <col collapsed="false" customWidth="true" hidden="false" outlineLevel="0" max="12" min="12" style="0" width="12"/>
    <col collapsed="false" customWidth="true" hidden="false" outlineLevel="0" max="13" min="13" style="0" width="34"/>
    <col collapsed="false" customWidth="true" hidden="false" outlineLevel="0" max="14" min="14" style="0" width="28"/>
  </cols>
  <sheetData>
    <row r="1" customFormat="false" ht="22.5" hidden="false" customHeight="true" outlineLevel="0" collapsed="false">
      <c r="A1" s="1" t="s">
        <v>277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52" t="s">
        <v>278</v>
      </c>
      <c r="B2" s="52"/>
      <c r="C2" s="52"/>
      <c r="D2" s="52"/>
      <c r="E2" s="52"/>
      <c r="F2" s="52"/>
      <c r="G2" s="52"/>
      <c r="H2" s="40" t="s">
        <v>279</v>
      </c>
      <c r="I2" s="40"/>
      <c r="J2" s="40"/>
      <c r="K2" s="40"/>
      <c r="L2" s="40"/>
      <c r="M2" s="40"/>
      <c r="N2" s="40"/>
    </row>
    <row r="3" customFormat="false" ht="25.5" hidden="false" customHeight="true" outlineLevel="0" collapsed="false">
      <c r="A3" s="9" t="s">
        <v>115</v>
      </c>
      <c r="B3" s="9" t="s">
        <v>227</v>
      </c>
      <c r="C3" s="9" t="s">
        <v>116</v>
      </c>
      <c r="D3" s="9" t="s">
        <v>93</v>
      </c>
      <c r="E3" s="9" t="s">
        <v>117</v>
      </c>
      <c r="F3" s="9" t="s">
        <v>103</v>
      </c>
      <c r="G3" s="9" t="s">
        <v>228</v>
      </c>
      <c r="H3" s="9" t="s">
        <v>118</v>
      </c>
      <c r="I3" s="41" t="s">
        <v>120</v>
      </c>
      <c r="J3" s="41" t="s">
        <v>119</v>
      </c>
      <c r="K3" s="41" t="s">
        <v>280</v>
      </c>
      <c r="L3" s="9" t="s">
        <v>281</v>
      </c>
      <c r="M3" s="9" t="s">
        <v>122</v>
      </c>
      <c r="N3" s="9" t="s">
        <v>236</v>
      </c>
    </row>
    <row r="4" customFormat="false" ht="18" hidden="false" customHeight="true" outlineLevel="0" collapsed="false">
      <c r="A4" s="8" t="s">
        <v>123</v>
      </c>
      <c r="B4" s="72" t="s">
        <v>276</v>
      </c>
      <c r="C4" s="8" t="s">
        <v>124</v>
      </c>
      <c r="D4" s="48" t="s">
        <v>125</v>
      </c>
      <c r="E4" s="8" t="s">
        <v>126</v>
      </c>
      <c r="F4" s="47" t="n">
        <v>1</v>
      </c>
      <c r="G4" s="50" t="n">
        <v>10</v>
      </c>
      <c r="H4" s="49" t="n">
        <v>-2</v>
      </c>
      <c r="I4" s="50" t="str">
        <f aca="false">IF(OR($J4=0,$H4&lt;=0),"",ROUND($H4/($J4/7),0))</f>
        <v/>
      </c>
      <c r="J4" s="49" t="n">
        <v>12</v>
      </c>
      <c r="K4" s="49" t="n">
        <v>140</v>
      </c>
      <c r="L4" s="50" t="n">
        <v>0</v>
      </c>
      <c r="M4" s="8" t="s">
        <v>127</v>
      </c>
      <c r="N4" s="73"/>
    </row>
    <row r="5" customFormat="false" ht="18" hidden="false" customHeight="true" outlineLevel="0" collapsed="false">
      <c r="A5" s="6" t="s">
        <v>123</v>
      </c>
      <c r="B5" s="74" t="s">
        <v>274</v>
      </c>
      <c r="C5" s="6" t="s">
        <v>128</v>
      </c>
      <c r="D5" s="43" t="s">
        <v>125</v>
      </c>
      <c r="E5" s="6" t="s">
        <v>275</v>
      </c>
      <c r="F5" s="42" t="n">
        <v>1</v>
      </c>
      <c r="G5" s="45" t="n">
        <v>10</v>
      </c>
      <c r="H5" s="44" t="n">
        <v>0</v>
      </c>
      <c r="I5" s="45" t="str">
        <f aca="false">IF(OR($J5=0,$H5&lt;=0),"",ROUND($H5/($J5/7),0))</f>
        <v/>
      </c>
      <c r="J5" s="44" t="n">
        <v>5</v>
      </c>
      <c r="K5" s="44" t="n">
        <v>58</v>
      </c>
      <c r="L5" s="45" t="n">
        <v>8</v>
      </c>
      <c r="M5" s="6" t="s">
        <v>130</v>
      </c>
      <c r="N5" s="35"/>
    </row>
    <row r="6" customFormat="false" ht="18" hidden="false" customHeight="true" outlineLevel="0" collapsed="false">
      <c r="A6" s="37" t="s">
        <v>131</v>
      </c>
      <c r="B6" s="72" t="s">
        <v>260</v>
      </c>
      <c r="C6" s="8" t="s">
        <v>132</v>
      </c>
      <c r="D6" s="48" t="s">
        <v>133</v>
      </c>
      <c r="E6" s="8" t="s">
        <v>134</v>
      </c>
      <c r="F6" s="47" t="n">
        <v>1</v>
      </c>
      <c r="G6" s="50" t="n">
        <v>50</v>
      </c>
      <c r="H6" s="49" t="n">
        <v>7</v>
      </c>
      <c r="I6" s="50" t="n">
        <f aca="false">IF(OR($J6=0,$H6&lt;=0),"",ROUND($H6/($J6/7),0))</f>
        <v>5</v>
      </c>
      <c r="J6" s="49" t="n">
        <v>10</v>
      </c>
      <c r="K6" s="49" t="n">
        <v>112</v>
      </c>
      <c r="L6" s="50" t="n">
        <v>0</v>
      </c>
      <c r="M6" s="8" t="s">
        <v>135</v>
      </c>
      <c r="N6" s="73"/>
    </row>
    <row r="7" customFormat="false" ht="18" hidden="false" customHeight="true" outlineLevel="0" collapsed="false">
      <c r="A7" s="36" t="s">
        <v>136</v>
      </c>
      <c r="B7" s="74" t="s">
        <v>248</v>
      </c>
      <c r="C7" s="6" t="s">
        <v>137</v>
      </c>
      <c r="D7" s="43" t="s">
        <v>138</v>
      </c>
      <c r="E7" s="6" t="s">
        <v>134</v>
      </c>
      <c r="F7" s="42" t="n">
        <v>1</v>
      </c>
      <c r="G7" s="45" t="n">
        <v>40</v>
      </c>
      <c r="H7" s="44" t="n">
        <v>14</v>
      </c>
      <c r="I7" s="45" t="n">
        <f aca="false">IF(OR($J7=0,$H7&lt;=0),"",ROUND($H7/($J7/7),0))</f>
        <v>20</v>
      </c>
      <c r="J7" s="44" t="n">
        <v>5</v>
      </c>
      <c r="K7" s="44" t="n">
        <v>62</v>
      </c>
      <c r="L7" s="45" t="n">
        <v>0</v>
      </c>
      <c r="M7" s="6" t="s">
        <v>139</v>
      </c>
      <c r="N7" s="35"/>
    </row>
    <row r="8" customFormat="false" ht="18" hidden="false" customHeight="true" outlineLevel="0" collapsed="false">
      <c r="A8" s="8" t="s">
        <v>123</v>
      </c>
      <c r="B8" s="72" t="s">
        <v>272</v>
      </c>
      <c r="C8" s="8" t="s">
        <v>140</v>
      </c>
      <c r="D8" s="48" t="s">
        <v>125</v>
      </c>
      <c r="E8" s="8" t="s">
        <v>134</v>
      </c>
      <c r="F8" s="47" t="n">
        <v>1</v>
      </c>
      <c r="G8" s="50" t="n">
        <v>10</v>
      </c>
      <c r="H8" s="49" t="n">
        <v>15</v>
      </c>
      <c r="I8" s="50" t="n">
        <f aca="false">IF(OR($J8=0,$H8&lt;=0),"",ROUND($H8/($J8/7),0))</f>
        <v>4</v>
      </c>
      <c r="J8" s="49" t="n">
        <v>28</v>
      </c>
      <c r="K8" s="49" t="n">
        <v>312</v>
      </c>
      <c r="L8" s="50" t="n">
        <v>0</v>
      </c>
      <c r="M8" s="8" t="s">
        <v>141</v>
      </c>
      <c r="N8" s="73"/>
    </row>
    <row r="9" customFormat="false" ht="18" hidden="false" customHeight="true" outlineLevel="0" collapsed="false">
      <c r="A9" s="6" t="s">
        <v>142</v>
      </c>
      <c r="B9" s="74" t="s">
        <v>267</v>
      </c>
      <c r="C9" s="6" t="s">
        <v>143</v>
      </c>
      <c r="D9" s="43" t="s">
        <v>125</v>
      </c>
      <c r="E9" s="6" t="s">
        <v>134</v>
      </c>
      <c r="F9" s="42" t="n">
        <v>1</v>
      </c>
      <c r="G9" s="45" t="n">
        <v>5</v>
      </c>
      <c r="H9" s="44" t="n">
        <v>25</v>
      </c>
      <c r="I9" s="45" t="n">
        <f aca="false">IF(OR($J9=0,$H9&lt;=0),"",ROUND($H9/($J9/7),0))</f>
        <v>4</v>
      </c>
      <c r="J9" s="44" t="n">
        <v>42</v>
      </c>
      <c r="K9" s="44" t="n">
        <v>471</v>
      </c>
      <c r="L9" s="45" t="n">
        <v>0</v>
      </c>
      <c r="M9" s="6" t="s">
        <v>141</v>
      </c>
      <c r="N9" s="35"/>
    </row>
    <row r="10" customFormat="false" ht="18" hidden="false" customHeight="true" outlineLevel="0" collapsed="false">
      <c r="A10" s="37" t="s">
        <v>144</v>
      </c>
      <c r="B10" s="72" t="s">
        <v>246</v>
      </c>
      <c r="C10" s="8" t="s">
        <v>145</v>
      </c>
      <c r="D10" s="48" t="s">
        <v>138</v>
      </c>
      <c r="E10" s="8" t="s">
        <v>134</v>
      </c>
      <c r="F10" s="47" t="n">
        <v>1</v>
      </c>
      <c r="G10" s="50" t="n">
        <v>25</v>
      </c>
      <c r="H10" s="49" t="n">
        <v>28</v>
      </c>
      <c r="I10" s="50" t="n">
        <f aca="false">IF(OR($J10=0,$H10&lt;=0),"",ROUND($H10/($J10/7),0))</f>
        <v>28</v>
      </c>
      <c r="J10" s="49" t="n">
        <v>7</v>
      </c>
      <c r="K10" s="49" t="n">
        <v>84</v>
      </c>
      <c r="L10" s="50" t="n">
        <v>0</v>
      </c>
      <c r="M10" s="8" t="s">
        <v>146</v>
      </c>
      <c r="N10" s="73"/>
    </row>
    <row r="11" customFormat="false" ht="18" hidden="false" customHeight="true" outlineLevel="0" collapsed="false">
      <c r="A11" s="36" t="s">
        <v>147</v>
      </c>
      <c r="B11" s="74" t="s">
        <v>258</v>
      </c>
      <c r="C11" s="6" t="s">
        <v>148</v>
      </c>
      <c r="D11" s="43" t="s">
        <v>133</v>
      </c>
      <c r="E11" s="6" t="s">
        <v>134</v>
      </c>
      <c r="F11" s="42" t="n">
        <v>1</v>
      </c>
      <c r="G11" s="45" t="n">
        <v>35</v>
      </c>
      <c r="H11" s="44" t="n">
        <v>33</v>
      </c>
      <c r="I11" s="45" t="n">
        <f aca="false">IF(OR($J11=0,$H11&lt;=0),"",ROUND($H11/($J11/7),0))</f>
        <v>8</v>
      </c>
      <c r="J11" s="44" t="n">
        <v>28</v>
      </c>
      <c r="K11" s="44" t="n">
        <v>302</v>
      </c>
      <c r="L11" s="45" t="n">
        <v>0</v>
      </c>
      <c r="M11" s="6" t="s">
        <v>149</v>
      </c>
      <c r="N11" s="35"/>
    </row>
    <row r="12" customFormat="false" ht="18" hidden="false" customHeight="true" outlineLevel="0" collapsed="false">
      <c r="A12" s="37" t="s">
        <v>150</v>
      </c>
      <c r="B12" s="72" t="s">
        <v>252</v>
      </c>
      <c r="C12" s="8" t="s">
        <v>151</v>
      </c>
      <c r="D12" s="48" t="s">
        <v>133</v>
      </c>
      <c r="E12" s="8" t="s">
        <v>134</v>
      </c>
      <c r="F12" s="47" t="n">
        <v>1</v>
      </c>
      <c r="G12" s="50" t="n">
        <v>45</v>
      </c>
      <c r="H12" s="49" t="n">
        <v>54</v>
      </c>
      <c r="I12" s="50" t="n">
        <f aca="false">IF(OR($J12=0,$H12&lt;=0),"",ROUND($H12/($J12/7),0))</f>
        <v>18</v>
      </c>
      <c r="J12" s="49" t="n">
        <v>21</v>
      </c>
      <c r="K12" s="49" t="n">
        <v>238</v>
      </c>
      <c r="L12" s="50" t="n">
        <v>0</v>
      </c>
      <c r="M12" s="8" t="s">
        <v>152</v>
      </c>
      <c r="N12" s="73"/>
    </row>
    <row r="13" customFormat="false" ht="18" hidden="false" customHeight="true" outlineLevel="0" collapsed="false">
      <c r="A13" s="36" t="s">
        <v>136</v>
      </c>
      <c r="B13" s="74" t="s">
        <v>237</v>
      </c>
      <c r="C13" s="6" t="s">
        <v>153</v>
      </c>
      <c r="D13" s="43" t="s">
        <v>138</v>
      </c>
      <c r="E13" s="6" t="s">
        <v>134</v>
      </c>
      <c r="F13" s="42" t="n">
        <v>1</v>
      </c>
      <c r="G13" s="45" t="n">
        <v>30</v>
      </c>
      <c r="H13" s="44" t="n">
        <v>62</v>
      </c>
      <c r="I13" s="45" t="n">
        <f aca="false">IF(OR($J13=0,$H13&lt;=0),"",ROUND($H13/($J13/7),0))</f>
        <v>31</v>
      </c>
      <c r="J13" s="44" t="n">
        <v>14</v>
      </c>
      <c r="K13" s="44" t="n">
        <v>168</v>
      </c>
      <c r="L13" s="45" t="n">
        <v>0</v>
      </c>
      <c r="M13" s="6" t="s">
        <v>154</v>
      </c>
      <c r="N13" s="35"/>
    </row>
    <row r="14" customFormat="false" ht="18" hidden="false" customHeight="true" outlineLevel="0" collapsed="false">
      <c r="A14" s="37" t="s">
        <v>136</v>
      </c>
      <c r="B14" s="72" t="s">
        <v>249</v>
      </c>
      <c r="C14" s="8" t="s">
        <v>155</v>
      </c>
      <c r="D14" s="48" t="s">
        <v>138</v>
      </c>
      <c r="E14" s="8" t="s">
        <v>250</v>
      </c>
      <c r="F14" s="47" t="n">
        <v>2</v>
      </c>
      <c r="G14" s="50" t="n">
        <v>40</v>
      </c>
      <c r="H14" s="49" t="n">
        <v>0</v>
      </c>
      <c r="I14" s="50" t="str">
        <f aca="false">IF(OR($J14=0,$H14&lt;=0),"",ROUND($H14/($J14/7),0))</f>
        <v/>
      </c>
      <c r="J14" s="49" t="n">
        <v>3</v>
      </c>
      <c r="K14" s="49" t="n">
        <v>38</v>
      </c>
      <c r="L14" s="50" t="n">
        <v>12</v>
      </c>
      <c r="M14" s="8" t="s">
        <v>157</v>
      </c>
      <c r="N14" s="73"/>
    </row>
    <row r="15" customFormat="false" ht="18" hidden="false" customHeight="true" outlineLevel="0" collapsed="false">
      <c r="A15" s="6" t="s">
        <v>142</v>
      </c>
      <c r="B15" s="74" t="s">
        <v>266</v>
      </c>
      <c r="C15" s="6" t="s">
        <v>158</v>
      </c>
      <c r="D15" s="43" t="s">
        <v>125</v>
      </c>
      <c r="E15" s="6" t="s">
        <v>159</v>
      </c>
      <c r="F15" s="42" t="n">
        <v>2</v>
      </c>
      <c r="G15" s="45" t="n">
        <v>5</v>
      </c>
      <c r="H15" s="44" t="n">
        <v>61</v>
      </c>
      <c r="I15" s="45" t="n">
        <f aca="false">IF(OR($J15=0,$H15&lt;=0),"",ROUND($H15/($J15/7),0))</f>
        <v>12</v>
      </c>
      <c r="J15" s="44" t="n">
        <v>35</v>
      </c>
      <c r="K15" s="44" t="n">
        <v>402</v>
      </c>
      <c r="L15" s="45" t="n">
        <v>0</v>
      </c>
      <c r="M15" s="6" t="s">
        <v>160</v>
      </c>
      <c r="N15" s="35"/>
    </row>
    <row r="16" customFormat="false" ht="18" hidden="false" customHeight="true" outlineLevel="0" collapsed="false">
      <c r="A16" s="37" t="s">
        <v>150</v>
      </c>
      <c r="B16" s="72" t="s">
        <v>253</v>
      </c>
      <c r="C16" s="8" t="s">
        <v>161</v>
      </c>
      <c r="D16" s="48" t="s">
        <v>133</v>
      </c>
      <c r="E16" s="8" t="s">
        <v>159</v>
      </c>
      <c r="F16" s="47" t="n">
        <v>2</v>
      </c>
      <c r="G16" s="50" t="n">
        <v>45</v>
      </c>
      <c r="H16" s="49" t="n">
        <v>106</v>
      </c>
      <c r="I16" s="50" t="n">
        <f aca="false">IF(OR($J16=0,$H16&lt;=0),"",ROUND($H16/($J16/7),0))</f>
        <v>35</v>
      </c>
      <c r="J16" s="49" t="n">
        <v>21</v>
      </c>
      <c r="K16" s="49" t="n">
        <v>221</v>
      </c>
      <c r="L16" s="50" t="n">
        <v>0</v>
      </c>
      <c r="M16" s="8" t="s">
        <v>162</v>
      </c>
      <c r="N16" s="73"/>
    </row>
    <row r="17" customFormat="false" ht="18" hidden="false" customHeight="true" outlineLevel="0" collapsed="false">
      <c r="A17" s="36" t="s">
        <v>136</v>
      </c>
      <c r="B17" s="74" t="s">
        <v>238</v>
      </c>
      <c r="C17" s="6" t="s">
        <v>163</v>
      </c>
      <c r="D17" s="43" t="s">
        <v>138</v>
      </c>
      <c r="E17" s="6" t="s">
        <v>159</v>
      </c>
      <c r="F17" s="42" t="n">
        <v>2</v>
      </c>
      <c r="G17" s="45" t="n">
        <v>30</v>
      </c>
      <c r="H17" s="44" t="n">
        <v>128</v>
      </c>
      <c r="I17" s="45" t="n">
        <f aca="false">IF(OR($J17=0,$H17&lt;=0),"",ROUND($H17/($J17/7),0))</f>
        <v>64</v>
      </c>
      <c r="J17" s="44" t="n">
        <v>14</v>
      </c>
      <c r="K17" s="44" t="n">
        <v>152</v>
      </c>
      <c r="L17" s="45" t="n">
        <v>0</v>
      </c>
      <c r="M17" s="36" t="s">
        <v>164</v>
      </c>
      <c r="N17" s="35"/>
    </row>
    <row r="18" customFormat="false" ht="18" hidden="false" customHeight="true" outlineLevel="0" collapsed="false">
      <c r="A18" s="37" t="s">
        <v>165</v>
      </c>
      <c r="B18" s="72" t="s">
        <v>263</v>
      </c>
      <c r="C18" s="8" t="s">
        <v>166</v>
      </c>
      <c r="D18" s="48" t="s">
        <v>133</v>
      </c>
      <c r="E18" s="8" t="s">
        <v>264</v>
      </c>
      <c r="F18" s="47" t="n">
        <v>3</v>
      </c>
      <c r="G18" s="50" t="n">
        <v>30</v>
      </c>
      <c r="H18" s="49" t="n">
        <v>0</v>
      </c>
      <c r="I18" s="50" t="str">
        <f aca="false">IF(OR($J18=0,$H18&lt;=0),"",ROUND($H18/($J18/7),0))</f>
        <v/>
      </c>
      <c r="J18" s="49" t="n">
        <v>2</v>
      </c>
      <c r="K18" s="49" t="n">
        <v>26</v>
      </c>
      <c r="L18" s="50" t="n">
        <v>34</v>
      </c>
      <c r="M18" s="8" t="s">
        <v>168</v>
      </c>
      <c r="N18" s="73"/>
    </row>
    <row r="19" customFormat="false" ht="18" hidden="false" customHeight="true" outlineLevel="0" collapsed="false">
      <c r="A19" s="36" t="s">
        <v>136</v>
      </c>
      <c r="B19" s="74" t="s">
        <v>242</v>
      </c>
      <c r="C19" s="6" t="s">
        <v>173</v>
      </c>
      <c r="D19" s="43" t="s">
        <v>138</v>
      </c>
      <c r="E19" s="6" t="s">
        <v>174</v>
      </c>
      <c r="F19" s="42" t="n">
        <v>3</v>
      </c>
      <c r="G19" s="45" t="n">
        <v>45</v>
      </c>
      <c r="H19" s="44" t="n">
        <v>3</v>
      </c>
      <c r="I19" s="45" t="str">
        <f aca="false">IF(OR($J19=0,$H19&lt;=0),"",ROUND($H19/($J19/7),0))</f>
        <v/>
      </c>
      <c r="J19" s="44" t="n">
        <v>0</v>
      </c>
      <c r="K19" s="44" t="n">
        <v>12</v>
      </c>
      <c r="L19" s="45" t="n">
        <v>0</v>
      </c>
      <c r="M19" s="36" t="s">
        <v>243</v>
      </c>
      <c r="N19" s="35"/>
    </row>
    <row r="20" customFormat="false" ht="18" hidden="false" customHeight="true" outlineLevel="0" collapsed="false">
      <c r="A20" s="37" t="s">
        <v>136</v>
      </c>
      <c r="B20" s="72" t="s">
        <v>251</v>
      </c>
      <c r="C20" s="8" t="s">
        <v>176</v>
      </c>
      <c r="D20" s="48" t="s">
        <v>138</v>
      </c>
      <c r="E20" s="8" t="s">
        <v>174</v>
      </c>
      <c r="F20" s="47" t="n">
        <v>3</v>
      </c>
      <c r="G20" s="50" t="n">
        <v>40</v>
      </c>
      <c r="H20" s="49" t="n">
        <v>3</v>
      </c>
      <c r="I20" s="50" t="str">
        <f aca="false">IF(OR($J20=0,$H20&lt;=0),"",ROUND($H20/($J20/7),0))</f>
        <v/>
      </c>
      <c r="J20" s="49" t="n">
        <v>0</v>
      </c>
      <c r="K20" s="49" t="n">
        <v>6</v>
      </c>
      <c r="L20" s="50" t="n">
        <v>0</v>
      </c>
      <c r="M20" s="37" t="s">
        <v>243</v>
      </c>
      <c r="N20" s="73"/>
    </row>
    <row r="21" customFormat="false" ht="18" hidden="false" customHeight="true" outlineLevel="0" collapsed="false">
      <c r="A21" s="36" t="s">
        <v>165</v>
      </c>
      <c r="B21" s="74" t="s">
        <v>265</v>
      </c>
      <c r="C21" s="6" t="s">
        <v>178</v>
      </c>
      <c r="D21" s="43" t="s">
        <v>133</v>
      </c>
      <c r="E21" s="6" t="s">
        <v>174</v>
      </c>
      <c r="F21" s="42" t="n">
        <v>3</v>
      </c>
      <c r="G21" s="45" t="n">
        <v>30</v>
      </c>
      <c r="H21" s="44" t="n">
        <v>4</v>
      </c>
      <c r="I21" s="45" t="str">
        <f aca="false">IF(OR($J21=0,$H21&lt;=0),"",ROUND($H21/($J21/7),0))</f>
        <v/>
      </c>
      <c r="J21" s="44" t="n">
        <v>0</v>
      </c>
      <c r="K21" s="44" t="n">
        <v>4</v>
      </c>
      <c r="L21" s="45" t="n">
        <v>0</v>
      </c>
      <c r="M21" s="36" t="s">
        <v>243</v>
      </c>
      <c r="N21" s="35"/>
    </row>
  </sheetData>
  <mergeCells count="3">
    <mergeCell ref="A1:N1"/>
    <mergeCell ref="A2:G2"/>
    <mergeCell ref="H2:N2"/>
  </mergeCells>
  <conditionalFormatting sqref="E4:E21">
    <cfRule type="expression" priority="2" aboveAverage="0" equalAverage="0" bottom="0" percent="0" rank="0" text="" dxfId="0">
      <formula>OR(ISNUMBER(SEARCH("초과주문",$E4)),ISNUMBER(SEARCH("위험",$E4)),ISNUMBER(SEARCH("품절-신규",$E4)))</formula>
    </cfRule>
    <cfRule type="expression" priority="3" aboveAverage="0" equalAverage="0" bottom="0" percent="0" rank="0" text="" dxfId="1">
      <formula>OR(ISNUMBER(SEARCH("주의",$E4)),ISNUMBER(SEARCH("품절-지속",$E4)))</formula>
    </cfRule>
    <cfRule type="expression" priority="4" aboveAverage="0" equalAverage="0" bottom="0" percent="0" rank="0" text="" dxfId="2">
      <formula>OR(ISNUMBER(SEARCH("재고소량",$E4)))</formula>
    </cfRule>
  </conditionalFormatting>
  <conditionalFormatting sqref="I4:I21">
    <cfRule type="expression" priority="5" aboveAverage="0" equalAverage="0" bottom="0" percent="0" rank="0" text="" dxfId="0">
      <formula>OR(ISNUMBER(SEARCH("초과주문",$E4)),ISNUMBER(SEARCH("위험",$E4)),ISNUMBER(SEARCH("품절-신규",$E4)))</formula>
    </cfRule>
    <cfRule type="expression" priority="6" aboveAverage="0" equalAverage="0" bottom="0" percent="0" rank="0" text="" dxfId="1">
      <formula>OR(ISNUMBER(SEARCH("주의",$E4)),ISNUMBER(SEARCH("품절-지속",$E4)))</formula>
    </cfRule>
    <cfRule type="expression" priority="7" aboveAverage="0" equalAverage="0" bottom="0" percent="0" rank="0" text="" dxfId="2">
      <formula>OR(ISNUMBER(SEARCH("재고소량",$E4)))</formula>
    </cfRule>
  </conditionalFormatting>
  <conditionalFormatting sqref="M4:M21">
    <cfRule type="expression" priority="8" aboveAverage="0" equalAverage="0" bottom="0" percent="0" rank="0" text="" dxfId="0">
      <formula>OR(ISNUMBER(SEARCH("초과주문",$E4)),ISNUMBER(SEARCH("위험",$E4)),ISNUMBER(SEARCH("품절-신규",$E4)))</formula>
    </cfRule>
    <cfRule type="expression" priority="9" aboveAverage="0" equalAverage="0" bottom="0" percent="0" rank="0" text="" dxfId="1">
      <formula>OR(ISNUMBER(SEARCH("주의",$E4)),ISNUMBER(SEARCH("품절-지속",$E4)))</formula>
    </cfRule>
    <cfRule type="expression" priority="10" aboveAverage="0" equalAverage="0" bottom="0" percent="0" rank="0" text="" dxfId="2">
      <formula>OR(ISNUMBER(SEARCH("재고소량",$E4)))</formula>
    </cfRule>
  </conditionalFormatting>
  <conditionalFormatting sqref="A4:N21">
    <cfRule type="expression" priority="11" aboveAverage="0" equalAverage="0" bottom="0" percent="0" rank="0" text="" dxfId="4">
      <formula>OR(ISNUMBER(SEARCH("품절-장기",$E4)))</formula>
    </cfRule>
  </conditionalFormatting>
  <conditionalFormatting sqref="C4:C21">
    <cfRule type="expression" priority="12" aboveAverage="0" equalAverage="0" bottom="0" percent="0" rank="0" text="" dxfId="5">
      <formula>OR(ISNUMBER(SEARCH("초과주문",$E4)),ISNUMBER(SEARCH("위험",$E4)),ISNUMBER(SEARCH("품절-신규",$E4)))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DDDDD"/>
    <pageSetUpPr fitToPage="false"/>
  </sheetPr>
  <dimension ref="A1:J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31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34"/>
    <col collapsed="false" customWidth="true" hidden="false" outlineLevel="0" max="10" min="10" style="0" width="28"/>
  </cols>
  <sheetData>
    <row r="1" customFormat="false" ht="22.5" hidden="false" customHeight="true" outlineLevel="0" collapsed="false">
      <c r="A1" s="1" t="s">
        <v>282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75" t="s">
        <v>283</v>
      </c>
      <c r="B2" s="75"/>
      <c r="C2" s="75"/>
      <c r="D2" s="75"/>
      <c r="E2" s="75"/>
      <c r="F2" s="54" t="s">
        <v>284</v>
      </c>
      <c r="G2" s="54"/>
      <c r="H2" s="54"/>
      <c r="I2" s="54"/>
      <c r="J2" s="54"/>
    </row>
    <row r="3" customFormat="false" ht="25.5" hidden="false" customHeight="true" outlineLevel="0" collapsed="false">
      <c r="A3" s="9" t="s">
        <v>115</v>
      </c>
      <c r="B3" s="9" t="s">
        <v>227</v>
      </c>
      <c r="C3" s="9" t="s">
        <v>116</v>
      </c>
      <c r="D3" s="9" t="s">
        <v>118</v>
      </c>
      <c r="E3" s="9" t="s">
        <v>285</v>
      </c>
      <c r="F3" s="9" t="s">
        <v>286</v>
      </c>
      <c r="G3" s="9" t="s">
        <v>287</v>
      </c>
      <c r="H3" s="9" t="s">
        <v>99</v>
      </c>
      <c r="I3" s="9" t="s">
        <v>122</v>
      </c>
      <c r="J3" s="9" t="s">
        <v>236</v>
      </c>
    </row>
    <row r="4" customFormat="false" ht="18" hidden="false" customHeight="true" outlineLevel="0" collapsed="false">
      <c r="A4" s="37" t="s">
        <v>136</v>
      </c>
      <c r="B4" s="72" t="s">
        <v>239</v>
      </c>
      <c r="C4" s="8" t="s">
        <v>200</v>
      </c>
      <c r="D4" s="49" t="n">
        <v>265</v>
      </c>
      <c r="E4" s="76" t="n">
        <v>46122</v>
      </c>
      <c r="F4" s="50" t="n">
        <f aca="false">INT(DATE(2026,7,28)-E4)</f>
        <v>109</v>
      </c>
      <c r="G4" s="51" t="n">
        <v>4200</v>
      </c>
      <c r="H4" s="51" t="n">
        <f aca="false">D4*G4</f>
        <v>1113000</v>
      </c>
      <c r="I4" s="8" t="s">
        <v>201</v>
      </c>
      <c r="J4" s="13"/>
    </row>
    <row r="5" customFormat="false" ht="18" hidden="false" customHeight="true" outlineLevel="0" collapsed="false">
      <c r="A5" s="36" t="s">
        <v>197</v>
      </c>
      <c r="B5" s="74" t="s">
        <v>256</v>
      </c>
      <c r="C5" s="6" t="s">
        <v>198</v>
      </c>
      <c r="D5" s="44" t="n">
        <v>372</v>
      </c>
      <c r="E5" s="77" t="n">
        <v>46037</v>
      </c>
      <c r="F5" s="45" t="n">
        <f aca="false">INT(DATE(2026,7,28)-E5)</f>
        <v>194</v>
      </c>
      <c r="G5" s="46" t="n">
        <v>3800</v>
      </c>
      <c r="H5" s="46" t="n">
        <f aca="false">D5*G5</f>
        <v>1413600</v>
      </c>
      <c r="I5" s="6" t="s">
        <v>199</v>
      </c>
      <c r="J5" s="11"/>
    </row>
    <row r="6" customFormat="false" ht="18" hidden="false" customHeight="true" outlineLevel="0" collapsed="false">
      <c r="A6" s="8" t="s">
        <v>123</v>
      </c>
      <c r="B6" s="72" t="s">
        <v>270</v>
      </c>
      <c r="C6" s="8" t="s">
        <v>207</v>
      </c>
      <c r="D6" s="49" t="n">
        <v>295</v>
      </c>
      <c r="E6" s="76" t="n">
        <v>46101</v>
      </c>
      <c r="F6" s="50" t="n">
        <f aca="false">INT(DATE(2026,7,28)-E6)</f>
        <v>130</v>
      </c>
      <c r="G6" s="51" t="n">
        <v>900</v>
      </c>
      <c r="H6" s="51" t="n">
        <f aca="false">D6*G6</f>
        <v>265500</v>
      </c>
      <c r="I6" s="8" t="s">
        <v>208</v>
      </c>
      <c r="J6" s="13"/>
    </row>
    <row r="7" customFormat="false" ht="18" hidden="false" customHeight="true" outlineLevel="0" collapsed="false">
      <c r="A7" s="36" t="s">
        <v>144</v>
      </c>
      <c r="B7" s="74" t="s">
        <v>247</v>
      </c>
      <c r="C7" s="6" t="s">
        <v>203</v>
      </c>
      <c r="D7" s="44" t="n">
        <v>64</v>
      </c>
      <c r="E7" s="77" t="n">
        <v>45999</v>
      </c>
      <c r="F7" s="45" t="n">
        <f aca="false">INT(DATE(2026,7,28)-E7)</f>
        <v>232</v>
      </c>
      <c r="G7" s="46" t="n">
        <v>9500</v>
      </c>
      <c r="H7" s="46" t="n">
        <f aca="false">D7*G7</f>
        <v>608000</v>
      </c>
      <c r="I7" s="36" t="s">
        <v>204</v>
      </c>
      <c r="J7" s="11"/>
    </row>
    <row r="8" customFormat="false" ht="18" hidden="false" customHeight="true" outlineLevel="0" collapsed="false">
      <c r="A8" s="37" t="s">
        <v>189</v>
      </c>
      <c r="B8" s="72" t="s">
        <v>262</v>
      </c>
      <c r="C8" s="8" t="s">
        <v>205</v>
      </c>
      <c r="D8" s="49" t="n">
        <v>84</v>
      </c>
      <c r="E8" s="76" t="n">
        <v>46064</v>
      </c>
      <c r="F8" s="50" t="n">
        <f aca="false">INT(DATE(2026,7,28)-E8)</f>
        <v>167</v>
      </c>
      <c r="G8" s="51" t="n">
        <v>5600</v>
      </c>
      <c r="H8" s="51" t="n">
        <f aca="false">D8*G8</f>
        <v>470400</v>
      </c>
      <c r="I8" s="37" t="s">
        <v>206</v>
      </c>
      <c r="J8" s="13"/>
    </row>
    <row r="9" customFormat="false" ht="18" hidden="false" customHeight="true" outlineLevel="0" collapsed="false">
      <c r="A9" s="36" t="s">
        <v>136</v>
      </c>
      <c r="B9" s="74" t="s">
        <v>241</v>
      </c>
      <c r="C9" s="6" t="s">
        <v>202</v>
      </c>
      <c r="D9" s="44" t="n">
        <v>195</v>
      </c>
      <c r="E9" s="77" t="n">
        <v>46191</v>
      </c>
      <c r="F9" s="45" t="n">
        <f aca="false">INT(DATE(2026,7,28)-E9)</f>
        <v>40</v>
      </c>
      <c r="G9" s="46" t="n">
        <v>3800</v>
      </c>
      <c r="H9" s="46" t="n">
        <f aca="false">D9*G9</f>
        <v>741000</v>
      </c>
      <c r="I9" s="6"/>
      <c r="J9" s="11"/>
    </row>
    <row r="10" customFormat="false" ht="18" hidden="false" customHeight="true" outlineLevel="0" collapsed="false">
      <c r="A10" s="8" t="s">
        <v>123</v>
      </c>
      <c r="B10" s="72" t="s">
        <v>273</v>
      </c>
      <c r="C10" s="8" t="s">
        <v>209</v>
      </c>
      <c r="D10" s="49" t="n">
        <v>220</v>
      </c>
      <c r="E10" s="76" t="n">
        <v>45981</v>
      </c>
      <c r="F10" s="50" t="n">
        <f aca="false">INT(DATE(2026,7,28)-E10)</f>
        <v>250</v>
      </c>
      <c r="G10" s="51" t="n">
        <v>320</v>
      </c>
      <c r="H10" s="51" t="n">
        <f aca="false">D10*G10</f>
        <v>70400</v>
      </c>
      <c r="I10" s="8" t="s">
        <v>210</v>
      </c>
      <c r="J10" s="13"/>
    </row>
    <row r="11" customFormat="false" ht="18" hidden="false" customHeight="true" outlineLevel="0" collapsed="false">
      <c r="A11" s="36" t="s">
        <v>147</v>
      </c>
      <c r="B11" s="74" t="s">
        <v>259</v>
      </c>
      <c r="C11" s="6" t="s">
        <v>193</v>
      </c>
      <c r="D11" s="44" t="n">
        <v>126</v>
      </c>
      <c r="E11" s="77" t="n">
        <v>46140</v>
      </c>
      <c r="F11" s="45" t="n">
        <f aca="false">INT(DATE(2026,7,28)-E11)</f>
        <v>91</v>
      </c>
      <c r="G11" s="46" t="n">
        <v>21000</v>
      </c>
      <c r="H11" s="46" t="n">
        <f aca="false">D11*G11</f>
        <v>2646000</v>
      </c>
      <c r="I11" s="6" t="s">
        <v>195</v>
      </c>
      <c r="J11" s="11"/>
    </row>
    <row r="12" customFormat="false" ht="18" hidden="false" customHeight="true" outlineLevel="0" collapsed="false">
      <c r="A12" s="8" t="s">
        <v>184</v>
      </c>
      <c r="B12" s="72" t="s">
        <v>269</v>
      </c>
      <c r="C12" s="8" t="s">
        <v>185</v>
      </c>
      <c r="D12" s="49" t="n">
        <v>114</v>
      </c>
      <c r="E12" s="76" t="n">
        <v>46208</v>
      </c>
      <c r="F12" s="50" t="n">
        <f aca="false">INT(DATE(2026,7,28)-E12)</f>
        <v>23</v>
      </c>
      <c r="G12" s="51" t="n">
        <v>1100</v>
      </c>
      <c r="H12" s="51" t="n">
        <f aca="false">D12*G12</f>
        <v>125400</v>
      </c>
      <c r="I12" s="8"/>
      <c r="J12" s="13"/>
    </row>
    <row r="13" customFormat="false" ht="18" hidden="false" customHeight="true" outlineLevel="0" collapsed="false">
      <c r="A13" s="36" t="s">
        <v>189</v>
      </c>
      <c r="B13" s="74" t="s">
        <v>261</v>
      </c>
      <c r="C13" s="6" t="s">
        <v>190</v>
      </c>
      <c r="D13" s="44" t="n">
        <v>184</v>
      </c>
      <c r="E13" s="77" t="n">
        <v>45932</v>
      </c>
      <c r="F13" s="45" t="n">
        <f aca="false">INT(DATE(2026,7,28)-E13)</f>
        <v>299</v>
      </c>
      <c r="G13" s="46" t="n">
        <v>8900</v>
      </c>
      <c r="H13" s="46" t="n">
        <f aca="false">D13*G13</f>
        <v>1637600</v>
      </c>
      <c r="I13" s="6" t="s">
        <v>196</v>
      </c>
      <c r="J13" s="11"/>
    </row>
  </sheetData>
  <mergeCells count="3">
    <mergeCell ref="A1:J1"/>
    <mergeCell ref="A2:E2"/>
    <mergeCell ref="F2:J2"/>
  </mergeCells>
  <conditionalFormatting sqref="F4:F13">
    <cfRule type="expression" priority="2" aboveAverage="0" equalAverage="0" bottom="0" percent="0" rank="0" text="" dxfId="7">
      <formula>$F4&gt;=180</formula>
    </cfRule>
    <cfRule type="expression" priority="3" aboveAverage="0" equalAverage="0" bottom="0" percent="0" rank="0" text="" dxfId="8">
      <formula>AND($F4&gt;=90,$F4&lt;180)</formula>
    </cfRule>
  </conditionalFormatting>
  <conditionalFormatting sqref="H4:H13">
    <cfRule type="expression" priority="4" aboveAverage="0" equalAverage="0" bottom="0" percent="0" rank="0" text="" dxfId="7">
      <formula>$F4&gt;=180</formula>
    </cfRule>
    <cfRule type="expression" priority="5" aboveAverage="0" equalAverage="0" bottom="0" percent="0" rank="0" text="" dxfId="8">
      <formula>AND($F4&gt;=90,$F4&lt;180)</formula>
    </cfRule>
    <cfRule type="expression" priority="6" aboveAverage="0" equalAverage="0" bottom="0" percent="0" rank="0" text="" dxfId="5">
      <formula>$H4&gt;=1000000</formula>
    </cfRule>
  </conditionalFormatting>
  <conditionalFormatting sqref="I4:I13">
    <cfRule type="expression" priority="7" aboveAverage="0" equalAverage="0" bottom="0" percent="0" rank="0" text="" dxfId="7">
      <formula>$F4&gt;=180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DDDDD"/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31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30"/>
    <col collapsed="false" customWidth="true" hidden="false" outlineLevel="0" max="11" min="11" style="0" width="28"/>
  </cols>
  <sheetData>
    <row r="1" customFormat="false" ht="22.5" hidden="false" customHeight="true" outlineLevel="0" collapsed="false">
      <c r="A1" s="1" t="s">
        <v>288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78" t="s">
        <v>289</v>
      </c>
      <c r="B2" s="78"/>
      <c r="C2" s="78"/>
      <c r="D2" s="78"/>
      <c r="E2" s="78"/>
      <c r="F2" s="60" t="s">
        <v>290</v>
      </c>
      <c r="G2" s="60"/>
      <c r="H2" s="60"/>
      <c r="I2" s="60"/>
      <c r="J2" s="60"/>
      <c r="K2" s="60"/>
    </row>
    <row r="3" customFormat="false" ht="25.5" hidden="false" customHeight="true" outlineLevel="0" collapsed="false">
      <c r="A3" s="9" t="s">
        <v>115</v>
      </c>
      <c r="B3" s="9" t="s">
        <v>227</v>
      </c>
      <c r="C3" s="9" t="s">
        <v>116</v>
      </c>
      <c r="D3" s="9" t="s">
        <v>118</v>
      </c>
      <c r="E3" s="9" t="s">
        <v>285</v>
      </c>
      <c r="F3" s="9" t="s">
        <v>286</v>
      </c>
      <c r="G3" s="9" t="s">
        <v>281</v>
      </c>
      <c r="H3" s="9" t="s">
        <v>93</v>
      </c>
      <c r="I3" s="9" t="s">
        <v>228</v>
      </c>
      <c r="J3" s="9" t="s">
        <v>122</v>
      </c>
      <c r="K3" s="9" t="s">
        <v>236</v>
      </c>
    </row>
    <row r="4" customFormat="false" ht="18" hidden="false" customHeight="true" outlineLevel="0" collapsed="false">
      <c r="A4" s="15" t="s">
        <v>136</v>
      </c>
      <c r="B4" s="79" t="s">
        <v>249</v>
      </c>
      <c r="C4" s="16" t="s">
        <v>222</v>
      </c>
      <c r="D4" s="68" t="n">
        <v>0</v>
      </c>
      <c r="E4" s="80" t="n">
        <v>46114</v>
      </c>
      <c r="F4" s="69" t="n">
        <f aca="false">INT(DATE(2026,7,28)-E4)</f>
        <v>117</v>
      </c>
      <c r="G4" s="69" t="n">
        <v>117</v>
      </c>
      <c r="H4" s="67" t="s">
        <v>138</v>
      </c>
      <c r="I4" s="69" t="n">
        <v>40</v>
      </c>
      <c r="J4" s="16" t="s">
        <v>223</v>
      </c>
      <c r="K4" s="17"/>
    </row>
    <row r="5" customFormat="false" ht="18" hidden="false" customHeight="true" outlineLevel="0" collapsed="false">
      <c r="A5" s="19" t="s">
        <v>165</v>
      </c>
      <c r="B5" s="81" t="s">
        <v>263</v>
      </c>
      <c r="C5" s="20" t="s">
        <v>220</v>
      </c>
      <c r="D5" s="63" t="n">
        <v>0</v>
      </c>
      <c r="E5" s="82" t="n">
        <v>46077</v>
      </c>
      <c r="F5" s="64" t="n">
        <f aca="false">INT(DATE(2026,7,28)-E5)</f>
        <v>154</v>
      </c>
      <c r="G5" s="64" t="n">
        <v>154</v>
      </c>
      <c r="H5" s="62" t="s">
        <v>133</v>
      </c>
      <c r="I5" s="64" t="n">
        <v>30</v>
      </c>
      <c r="J5" s="20" t="s">
        <v>221</v>
      </c>
      <c r="K5" s="21"/>
    </row>
    <row r="6" customFormat="false" ht="18" hidden="false" customHeight="true" outlineLevel="0" collapsed="false">
      <c r="A6" s="16" t="s">
        <v>217</v>
      </c>
      <c r="B6" s="79" t="s">
        <v>274</v>
      </c>
      <c r="C6" s="16" t="s">
        <v>128</v>
      </c>
      <c r="D6" s="68" t="n">
        <v>0</v>
      </c>
      <c r="E6" s="80" t="n">
        <v>46021</v>
      </c>
      <c r="F6" s="69" t="n">
        <f aca="false">INT(DATE(2026,7,28)-E6)</f>
        <v>210</v>
      </c>
      <c r="G6" s="69" t="n">
        <v>210</v>
      </c>
      <c r="H6" s="67" t="s">
        <v>125</v>
      </c>
      <c r="I6" s="69" t="n">
        <v>10</v>
      </c>
      <c r="J6" s="16" t="s">
        <v>218</v>
      </c>
      <c r="K6" s="17"/>
    </row>
    <row r="7" customFormat="false" ht="18" hidden="false" customHeight="true" outlineLevel="0" collapsed="false">
      <c r="A7" s="19" t="s">
        <v>144</v>
      </c>
      <c r="B7" s="81" t="s">
        <v>246</v>
      </c>
      <c r="C7" s="20" t="s">
        <v>145</v>
      </c>
      <c r="D7" s="63" t="n">
        <v>0</v>
      </c>
      <c r="E7" s="82" t="n">
        <v>46030</v>
      </c>
      <c r="F7" s="64" t="n">
        <f aca="false">INT(DATE(2026,7,28)-E7)</f>
        <v>201</v>
      </c>
      <c r="G7" s="64" t="n">
        <v>201</v>
      </c>
      <c r="H7" s="62" t="s">
        <v>138</v>
      </c>
      <c r="I7" s="64" t="n">
        <v>25</v>
      </c>
      <c r="J7" s="20" t="s">
        <v>219</v>
      </c>
      <c r="K7" s="21"/>
    </row>
    <row r="8" customFormat="false" ht="18" hidden="false" customHeight="true" outlineLevel="0" collapsed="false">
      <c r="A8" s="15" t="s">
        <v>131</v>
      </c>
      <c r="B8" s="79" t="s">
        <v>260</v>
      </c>
      <c r="C8" s="16" t="s">
        <v>215</v>
      </c>
      <c r="D8" s="68" t="n">
        <v>0</v>
      </c>
      <c r="E8" s="80" t="n">
        <v>45966</v>
      </c>
      <c r="F8" s="69" t="n">
        <f aca="false">INT(DATE(2026,7,28)-E8)</f>
        <v>265</v>
      </c>
      <c r="G8" s="69" t="n">
        <v>265</v>
      </c>
      <c r="H8" s="67" t="s">
        <v>133</v>
      </c>
      <c r="I8" s="69" t="n">
        <v>50</v>
      </c>
      <c r="J8" s="15" t="s">
        <v>216</v>
      </c>
      <c r="K8" s="17"/>
    </row>
    <row r="9" customFormat="false" ht="18" hidden="false" customHeight="true" outlineLevel="0" collapsed="false">
      <c r="A9" s="19" t="s">
        <v>136</v>
      </c>
      <c r="B9" s="81" t="s">
        <v>242</v>
      </c>
      <c r="C9" s="20" t="s">
        <v>213</v>
      </c>
      <c r="D9" s="63" t="n">
        <v>0</v>
      </c>
      <c r="E9" s="82" t="n">
        <v>45918</v>
      </c>
      <c r="F9" s="64" t="n">
        <f aca="false">INT(DATE(2026,7,28)-E9)</f>
        <v>313</v>
      </c>
      <c r="G9" s="64" t="n">
        <v>313</v>
      </c>
      <c r="H9" s="62" t="s">
        <v>138</v>
      </c>
      <c r="I9" s="64" t="n">
        <v>45</v>
      </c>
      <c r="J9" s="20" t="s">
        <v>214</v>
      </c>
      <c r="K9" s="21"/>
    </row>
  </sheetData>
  <mergeCells count="3">
    <mergeCell ref="A1:K1"/>
    <mergeCell ref="A2:E2"/>
    <mergeCell ref="F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9C4"/>
    <pageSetUpPr fitToPage="false"/>
  </sheetPr>
  <dimension ref="A1:G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5" min="4" style="0" width="12"/>
    <col collapsed="false" customWidth="true" hidden="false" outlineLevel="0" max="6" min="6" style="0" width="22"/>
    <col collapsed="false" customWidth="true" hidden="false" outlineLevel="0" max="7" min="7" style="0" width="30"/>
  </cols>
  <sheetData>
    <row r="1" customFormat="false" ht="22.5" hidden="false" customHeight="true" outlineLevel="0" collapsed="false">
      <c r="A1" s="1" t="s">
        <v>291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56" t="s">
        <v>292</v>
      </c>
      <c r="B2" s="56"/>
      <c r="C2" s="56"/>
      <c r="D2" s="57" t="s">
        <v>293</v>
      </c>
      <c r="E2" s="57"/>
      <c r="F2" s="57"/>
      <c r="G2" s="57"/>
    </row>
    <row r="3" customFormat="false" ht="21.75" hidden="false" customHeight="true" outlineLevel="0" collapsed="false">
      <c r="A3" s="83" t="s">
        <v>294</v>
      </c>
      <c r="B3" s="83"/>
      <c r="C3" s="83"/>
      <c r="D3" s="83"/>
      <c r="E3" s="83"/>
      <c r="F3" s="83"/>
      <c r="G3" s="83"/>
    </row>
    <row r="4" customFormat="false" ht="18" hidden="false" customHeight="true" outlineLevel="0" collapsed="false">
      <c r="A4" s="6" t="s">
        <v>295</v>
      </c>
      <c r="B4" s="6" t="s">
        <v>296</v>
      </c>
      <c r="C4" s="84" t="s">
        <v>297</v>
      </c>
      <c r="D4" s="44" t="n">
        <v>20</v>
      </c>
      <c r="E4" s="74" t="s">
        <v>298</v>
      </c>
      <c r="F4" s="36" t="s">
        <v>299</v>
      </c>
      <c r="G4" s="11"/>
    </row>
    <row r="5" customFormat="false" ht="18" hidden="false" customHeight="true" outlineLevel="0" collapsed="false">
      <c r="A5" s="37" t="s">
        <v>300</v>
      </c>
      <c r="B5" s="8" t="s">
        <v>296</v>
      </c>
      <c r="C5" s="85" t="s">
        <v>297</v>
      </c>
      <c r="D5" s="49" t="n">
        <v>10</v>
      </c>
      <c r="E5" s="72" t="s">
        <v>298</v>
      </c>
      <c r="F5" s="37" t="s">
        <v>299</v>
      </c>
      <c r="G5" s="13"/>
    </row>
    <row r="6" customFormat="false" ht="18" hidden="false" customHeight="true" outlineLevel="0" collapsed="false">
      <c r="A6" s="6" t="s">
        <v>301</v>
      </c>
      <c r="B6" s="6" t="s">
        <v>302</v>
      </c>
      <c r="C6" s="84" t="s">
        <v>297</v>
      </c>
      <c r="D6" s="44" t="n">
        <v>20</v>
      </c>
      <c r="E6" s="74" t="s">
        <v>298</v>
      </c>
      <c r="F6" s="36" t="s">
        <v>299</v>
      </c>
      <c r="G6" s="11"/>
    </row>
    <row r="7" customFormat="false" ht="18" hidden="false" customHeight="true" outlineLevel="0" collapsed="false">
      <c r="A7" s="8" t="s">
        <v>303</v>
      </c>
      <c r="B7" s="8" t="s">
        <v>302</v>
      </c>
      <c r="C7" s="79" t="s">
        <v>304</v>
      </c>
      <c r="D7" s="49" t="n">
        <v>10</v>
      </c>
      <c r="E7" s="72" t="s">
        <v>298</v>
      </c>
      <c r="F7" s="37" t="s">
        <v>299</v>
      </c>
      <c r="G7" s="13" t="s">
        <v>305</v>
      </c>
    </row>
    <row r="8" customFormat="false" ht="18" hidden="false" customHeight="true" outlineLevel="0" collapsed="false">
      <c r="A8" s="6" t="s">
        <v>306</v>
      </c>
      <c r="B8" s="6" t="s">
        <v>28</v>
      </c>
      <c r="C8" s="81" t="s">
        <v>304</v>
      </c>
      <c r="D8" s="44" t="n">
        <v>10</v>
      </c>
      <c r="E8" s="43" t="s">
        <v>307</v>
      </c>
      <c r="F8" s="36" t="s">
        <v>308</v>
      </c>
      <c r="G8" s="11" t="s">
        <v>309</v>
      </c>
    </row>
    <row r="9" customFormat="false" ht="18" hidden="false" customHeight="true" outlineLevel="0" collapsed="false">
      <c r="A9" s="8" t="s">
        <v>310</v>
      </c>
      <c r="B9" s="8" t="s">
        <v>31</v>
      </c>
      <c r="C9" s="79" t="s">
        <v>304</v>
      </c>
      <c r="D9" s="49" t="n">
        <v>10</v>
      </c>
      <c r="E9" s="72" t="s">
        <v>311</v>
      </c>
      <c r="F9" s="37" t="s">
        <v>308</v>
      </c>
      <c r="G9" s="13" t="s">
        <v>312</v>
      </c>
    </row>
    <row r="11" customFormat="false" ht="21.75" hidden="false" customHeight="true" outlineLevel="0" collapsed="false">
      <c r="A11" s="2" t="s">
        <v>313</v>
      </c>
      <c r="B11" s="2"/>
      <c r="C11" s="2"/>
      <c r="D11" s="2"/>
      <c r="E11" s="2"/>
      <c r="F11" s="2"/>
      <c r="G11" s="2"/>
    </row>
    <row r="12" customFormat="false" ht="25.5" hidden="false" customHeight="true" outlineLevel="0" collapsed="false">
      <c r="A12" s="9" t="s">
        <v>115</v>
      </c>
      <c r="B12" s="9" t="s">
        <v>314</v>
      </c>
      <c r="C12" s="9" t="s">
        <v>315</v>
      </c>
      <c r="D12" s="9" t="s">
        <v>316</v>
      </c>
      <c r="E12" s="9" t="s">
        <v>35</v>
      </c>
      <c r="F12" s="9" t="s">
        <v>317</v>
      </c>
      <c r="G12" s="9" t="s">
        <v>236</v>
      </c>
    </row>
    <row r="13" customFormat="false" ht="18" hidden="false" customHeight="true" outlineLevel="0" collapsed="false">
      <c r="A13" s="36" t="s">
        <v>136</v>
      </c>
      <c r="B13" s="74" t="s">
        <v>318</v>
      </c>
      <c r="C13" s="84" t="s">
        <v>297</v>
      </c>
      <c r="D13" s="6" t="s">
        <v>319</v>
      </c>
      <c r="E13" s="6" t="s">
        <v>26</v>
      </c>
      <c r="F13" s="36" t="s">
        <v>299</v>
      </c>
      <c r="G13" s="11"/>
    </row>
    <row r="14" customFormat="false" ht="18" hidden="false" customHeight="true" outlineLevel="0" collapsed="false">
      <c r="A14" s="37" t="s">
        <v>144</v>
      </c>
      <c r="B14" s="72" t="s">
        <v>144</v>
      </c>
      <c r="C14" s="85" t="s">
        <v>297</v>
      </c>
      <c r="D14" s="8" t="s">
        <v>319</v>
      </c>
      <c r="E14" s="8" t="s">
        <v>26</v>
      </c>
      <c r="F14" s="37" t="s">
        <v>299</v>
      </c>
      <c r="G14" s="13"/>
    </row>
    <row r="15" customFormat="false" ht="18" hidden="false" customHeight="true" outlineLevel="0" collapsed="false">
      <c r="A15" s="36" t="s">
        <v>150</v>
      </c>
      <c r="B15" s="74" t="s">
        <v>320</v>
      </c>
      <c r="C15" s="81" t="s">
        <v>304</v>
      </c>
      <c r="D15" s="6" t="s">
        <v>319</v>
      </c>
      <c r="E15" s="6"/>
      <c r="F15" s="6"/>
      <c r="G15" s="11"/>
    </row>
    <row r="16" customFormat="false" ht="18" hidden="false" customHeight="true" outlineLevel="0" collapsed="false">
      <c r="A16" s="37" t="s">
        <v>197</v>
      </c>
      <c r="B16" s="72" t="s">
        <v>321</v>
      </c>
      <c r="C16" s="79" t="s">
        <v>304</v>
      </c>
      <c r="D16" s="8" t="s">
        <v>319</v>
      </c>
      <c r="E16" s="8"/>
      <c r="F16" s="8"/>
      <c r="G16" s="13"/>
    </row>
    <row r="17" customFormat="false" ht="18" hidden="false" customHeight="true" outlineLevel="0" collapsed="false">
      <c r="A17" s="36" t="s">
        <v>147</v>
      </c>
      <c r="B17" s="74" t="s">
        <v>322</v>
      </c>
      <c r="C17" s="81" t="s">
        <v>304</v>
      </c>
      <c r="D17" s="6" t="s">
        <v>319</v>
      </c>
      <c r="E17" s="6"/>
      <c r="F17" s="6"/>
      <c r="G17" s="11"/>
    </row>
    <row r="18" customFormat="false" ht="18" hidden="false" customHeight="true" outlineLevel="0" collapsed="false">
      <c r="A18" s="37" t="s">
        <v>131</v>
      </c>
      <c r="B18" s="72" t="s">
        <v>323</v>
      </c>
      <c r="C18" s="79" t="s">
        <v>304</v>
      </c>
      <c r="D18" s="8" t="s">
        <v>319</v>
      </c>
      <c r="E18" s="8"/>
      <c r="F18" s="8"/>
      <c r="G18" s="13"/>
    </row>
    <row r="19" customFormat="false" ht="18" hidden="false" customHeight="true" outlineLevel="0" collapsed="false">
      <c r="A19" s="36" t="s">
        <v>189</v>
      </c>
      <c r="B19" s="74" t="s">
        <v>324</v>
      </c>
      <c r="C19" s="81" t="s">
        <v>304</v>
      </c>
      <c r="D19" s="6" t="s">
        <v>319</v>
      </c>
      <c r="E19" s="6"/>
      <c r="F19" s="6"/>
      <c r="G19" s="11"/>
    </row>
    <row r="20" customFormat="false" ht="18" hidden="false" customHeight="true" outlineLevel="0" collapsed="false">
      <c r="A20" s="37" t="s">
        <v>165</v>
      </c>
      <c r="B20" s="72" t="s">
        <v>325</v>
      </c>
      <c r="C20" s="79" t="s">
        <v>304</v>
      </c>
      <c r="D20" s="8" t="s">
        <v>319</v>
      </c>
      <c r="E20" s="8"/>
      <c r="F20" s="8"/>
      <c r="G20" s="13"/>
    </row>
    <row r="21" customFormat="false" ht="18" hidden="false" customHeight="true" outlineLevel="0" collapsed="false">
      <c r="A21" s="6" t="s">
        <v>142</v>
      </c>
      <c r="B21" s="74" t="s">
        <v>326</v>
      </c>
      <c r="C21" s="81" t="s">
        <v>304</v>
      </c>
      <c r="D21" s="6" t="s">
        <v>319</v>
      </c>
      <c r="E21" s="6"/>
      <c r="F21" s="6"/>
      <c r="G21" s="11"/>
    </row>
    <row r="22" customFormat="false" ht="18" hidden="false" customHeight="true" outlineLevel="0" collapsed="false">
      <c r="A22" s="8" t="s">
        <v>187</v>
      </c>
      <c r="B22" s="72" t="s">
        <v>327</v>
      </c>
      <c r="C22" s="79" t="s">
        <v>304</v>
      </c>
      <c r="D22" s="8" t="s">
        <v>319</v>
      </c>
      <c r="E22" s="8"/>
      <c r="F22" s="8"/>
      <c r="G22" s="13"/>
    </row>
    <row r="23" customFormat="false" ht="18" hidden="false" customHeight="true" outlineLevel="0" collapsed="false">
      <c r="A23" s="6" t="s">
        <v>184</v>
      </c>
      <c r="B23" s="74" t="s">
        <v>328</v>
      </c>
      <c r="C23" s="81" t="s">
        <v>304</v>
      </c>
      <c r="D23" s="6" t="s">
        <v>319</v>
      </c>
      <c r="E23" s="6"/>
      <c r="F23" s="6"/>
      <c r="G23" s="11"/>
    </row>
    <row r="24" customFormat="false" ht="18" hidden="false" customHeight="true" outlineLevel="0" collapsed="false">
      <c r="A24" s="8" t="s">
        <v>123</v>
      </c>
      <c r="B24" s="72" t="s">
        <v>329</v>
      </c>
      <c r="C24" s="79" t="s">
        <v>304</v>
      </c>
      <c r="D24" s="8" t="s">
        <v>319</v>
      </c>
      <c r="E24" s="8"/>
      <c r="F24" s="8"/>
      <c r="G24" s="13"/>
    </row>
    <row r="26" customFormat="false" ht="15" hidden="false" customHeight="false" outlineLevel="0" collapsed="false">
      <c r="A26" s="71" t="s">
        <v>330</v>
      </c>
    </row>
  </sheetData>
  <mergeCells count="5">
    <mergeCell ref="A1:G1"/>
    <mergeCell ref="A2:C2"/>
    <mergeCell ref="D2:G2"/>
    <mergeCell ref="A3:G3"/>
    <mergeCell ref="A11:G11"/>
  </mergeCells>
  <dataValidations count="1">
    <dataValidation allowBlank="false" errorStyle="stop" operator="between" showDropDown="false" showErrorMessage="false" showInputMessage="false" sqref="C4:C9 C13:C24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CCC"/>
    <pageSetUpPr fitToPage="false"/>
  </sheetPr>
  <dimension ref="A1:O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3"/>
    <col collapsed="false" customWidth="true" hidden="false" outlineLevel="0" max="4" min="4" style="0" width="29"/>
    <col collapsed="false" customWidth="true" hidden="false" outlineLevel="0" max="5" min="5" style="0" width="11"/>
    <col collapsed="false" customWidth="true" hidden="false" outlineLevel="0" max="6" min="6" style="0" width="10"/>
    <col collapsed="false" customWidth="true" hidden="false" outlineLevel="0" max="9" min="7" style="0" width="11"/>
    <col collapsed="false" customWidth="true" hidden="false" outlineLevel="0" max="12" min="10" style="0" width="14"/>
    <col collapsed="false" customWidth="true" hidden="false" outlineLevel="0" max="13" min="13" style="0" width="9"/>
    <col collapsed="false" customWidth="true" hidden="false" outlineLevel="0" max="14" min="14" style="0" width="12"/>
    <col collapsed="false" customWidth="true" hidden="false" outlineLevel="0" max="15" min="15" style="0" width="30"/>
  </cols>
  <sheetData>
    <row r="1" customFormat="false" ht="22.5" hidden="false" customHeight="true" outlineLevel="0" collapsed="false">
      <c r="A1" s="1" t="s">
        <v>331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1.75" hidden="false" customHeight="true" outlineLevel="0" collapsed="false">
      <c r="A2" s="59" t="s">
        <v>332</v>
      </c>
      <c r="B2" s="59"/>
      <c r="C2" s="59"/>
      <c r="D2" s="59"/>
      <c r="E2" s="59"/>
      <c r="F2" s="59"/>
      <c r="G2" s="59"/>
      <c r="H2" s="60" t="s">
        <v>290</v>
      </c>
      <c r="I2" s="60"/>
      <c r="J2" s="60"/>
      <c r="K2" s="60"/>
      <c r="L2" s="60"/>
      <c r="M2" s="60"/>
      <c r="N2" s="60"/>
      <c r="O2" s="60"/>
    </row>
    <row r="3" customFormat="false" ht="25.5" hidden="false" customHeight="true" outlineLevel="0" collapsed="false">
      <c r="A3" s="9" t="s">
        <v>333</v>
      </c>
      <c r="B3" s="9" t="s">
        <v>115</v>
      </c>
      <c r="C3" s="9" t="s">
        <v>227</v>
      </c>
      <c r="D3" s="9" t="s">
        <v>116</v>
      </c>
      <c r="E3" s="9" t="s">
        <v>117</v>
      </c>
      <c r="F3" s="9" t="s">
        <v>103</v>
      </c>
      <c r="G3" s="9" t="s">
        <v>233</v>
      </c>
      <c r="H3" s="9" t="s">
        <v>118</v>
      </c>
      <c r="I3" s="9" t="s">
        <v>235</v>
      </c>
      <c r="J3" s="9" t="s">
        <v>234</v>
      </c>
      <c r="K3" s="41" t="s">
        <v>119</v>
      </c>
      <c r="L3" s="41" t="s">
        <v>280</v>
      </c>
      <c r="M3" s="41" t="s">
        <v>120</v>
      </c>
      <c r="N3" s="9" t="s">
        <v>281</v>
      </c>
      <c r="O3" s="9" t="s">
        <v>122</v>
      </c>
    </row>
    <row r="4" customFormat="false" ht="18" hidden="false" customHeight="true" outlineLevel="0" collapsed="false">
      <c r="A4" s="76" t="n">
        <v>46225</v>
      </c>
      <c r="B4" s="37" t="s">
        <v>136</v>
      </c>
      <c r="C4" s="72" t="s">
        <v>237</v>
      </c>
      <c r="D4" s="8" t="s">
        <v>153</v>
      </c>
      <c r="E4" s="8" t="s">
        <v>134</v>
      </c>
      <c r="F4" s="47" t="n">
        <v>1</v>
      </c>
      <c r="G4" s="49" t="n">
        <v>68</v>
      </c>
      <c r="H4" s="49" t="n">
        <v>66</v>
      </c>
      <c r="I4" s="49" t="n">
        <v>2</v>
      </c>
      <c r="J4" s="49" t="n">
        <f aca="false">H4-G4+I4</f>
        <v>0</v>
      </c>
      <c r="K4" s="49" t="n">
        <v>14</v>
      </c>
      <c r="L4" s="49" t="n">
        <v>168</v>
      </c>
      <c r="M4" s="50" t="n">
        <f aca="false">IF(OR($K4=0,$H4&lt;=0),"",ROUND($H4/($K4/7),0))</f>
        <v>33</v>
      </c>
      <c r="N4" s="50" t="n">
        <v>0</v>
      </c>
      <c r="O4" s="8" t="s">
        <v>154</v>
      </c>
    </row>
    <row r="5" customFormat="false" ht="18" hidden="false" customHeight="true" outlineLevel="0" collapsed="false">
      <c r="A5" s="77" t="n">
        <v>46225</v>
      </c>
      <c r="B5" s="36" t="s">
        <v>136</v>
      </c>
      <c r="C5" s="74" t="s">
        <v>238</v>
      </c>
      <c r="D5" s="6" t="s">
        <v>163</v>
      </c>
      <c r="E5" s="6" t="s">
        <v>159</v>
      </c>
      <c r="F5" s="42" t="n">
        <v>2</v>
      </c>
      <c r="G5" s="44" t="n">
        <v>134</v>
      </c>
      <c r="H5" s="44" t="n">
        <v>132</v>
      </c>
      <c r="I5" s="44" t="n">
        <v>2</v>
      </c>
      <c r="J5" s="44" t="n">
        <f aca="false">H5-G5+I5</f>
        <v>0</v>
      </c>
      <c r="K5" s="44" t="n">
        <v>14</v>
      </c>
      <c r="L5" s="44" t="n">
        <v>152</v>
      </c>
      <c r="M5" s="45" t="n">
        <f aca="false">IF(OR($K5=0,$H5&lt;=0),"",ROUND($H5/($K5/7),0))</f>
        <v>66</v>
      </c>
      <c r="N5" s="45" t="n">
        <v>0</v>
      </c>
      <c r="O5" s="36" t="s">
        <v>164</v>
      </c>
    </row>
    <row r="6" customFormat="false" ht="18" hidden="false" customHeight="true" outlineLevel="0" collapsed="false">
      <c r="A6" s="76" t="n">
        <v>46225</v>
      </c>
      <c r="B6" s="37" t="s">
        <v>136</v>
      </c>
      <c r="C6" s="72" t="s">
        <v>239</v>
      </c>
      <c r="D6" s="8" t="s">
        <v>200</v>
      </c>
      <c r="E6" s="8" t="s">
        <v>194</v>
      </c>
      <c r="F6" s="47" t="n">
        <v>3</v>
      </c>
      <c r="G6" s="49" t="n">
        <v>270</v>
      </c>
      <c r="H6" s="49" t="n">
        <v>269</v>
      </c>
      <c r="I6" s="49" t="n">
        <v>1</v>
      </c>
      <c r="J6" s="49" t="n">
        <f aca="false">H6-G6+I6</f>
        <v>0</v>
      </c>
      <c r="K6" s="49" t="n">
        <v>9</v>
      </c>
      <c r="L6" s="49" t="n">
        <v>96</v>
      </c>
      <c r="M6" s="50" t="n">
        <f aca="false">IF(OR($K6=0,$H6&lt;=0),"",ROUND($H6/($K6/7),0))</f>
        <v>209</v>
      </c>
      <c r="N6" s="50" t="n">
        <v>0</v>
      </c>
      <c r="O6" s="8" t="s">
        <v>240</v>
      </c>
    </row>
    <row r="7" customFormat="false" ht="18" hidden="false" customHeight="true" outlineLevel="0" collapsed="false">
      <c r="A7" s="77" t="n">
        <v>46225</v>
      </c>
      <c r="B7" s="36" t="s">
        <v>136</v>
      </c>
      <c r="C7" s="74" t="s">
        <v>241</v>
      </c>
      <c r="D7" s="6" t="s">
        <v>202</v>
      </c>
      <c r="E7" s="6" t="s">
        <v>186</v>
      </c>
      <c r="F7" s="42" t="n">
        <v>3</v>
      </c>
      <c r="G7" s="44" t="n">
        <v>201</v>
      </c>
      <c r="H7" s="44" t="n">
        <v>199</v>
      </c>
      <c r="I7" s="44" t="n">
        <v>2</v>
      </c>
      <c r="J7" s="44" t="n">
        <f aca="false">H7-G7+I7</f>
        <v>0</v>
      </c>
      <c r="K7" s="44" t="n">
        <v>14</v>
      </c>
      <c r="L7" s="44" t="n">
        <v>158</v>
      </c>
      <c r="M7" s="45" t="n">
        <f aca="false">IF(OR($K7=0,$H7&lt;=0),"",ROUND($H7/($K7/7),0))</f>
        <v>100</v>
      </c>
      <c r="N7" s="45" t="n">
        <v>0</v>
      </c>
      <c r="O7" s="6"/>
    </row>
    <row r="8" customFormat="false" ht="18" hidden="false" customHeight="true" outlineLevel="0" collapsed="false">
      <c r="A8" s="76" t="n">
        <v>46225</v>
      </c>
      <c r="B8" s="37" t="s">
        <v>136</v>
      </c>
      <c r="C8" s="72" t="s">
        <v>242</v>
      </c>
      <c r="D8" s="8" t="s">
        <v>173</v>
      </c>
      <c r="E8" s="8" t="s">
        <v>174</v>
      </c>
      <c r="F8" s="47" t="n">
        <v>3</v>
      </c>
      <c r="G8" s="49" t="n">
        <v>7</v>
      </c>
      <c r="H8" s="49" t="n">
        <v>7</v>
      </c>
      <c r="I8" s="49" t="n">
        <v>0</v>
      </c>
      <c r="J8" s="49" t="n">
        <f aca="false">H8-G8+I8</f>
        <v>0</v>
      </c>
      <c r="K8" s="49" t="n">
        <v>0</v>
      </c>
      <c r="L8" s="49" t="n">
        <v>12</v>
      </c>
      <c r="M8" s="50" t="str">
        <f aca="false">IF(OR($K8=0,$H8&lt;=0),"",ROUND($H8/($K8/7),0))</f>
        <v/>
      </c>
      <c r="N8" s="50" t="n">
        <v>0</v>
      </c>
      <c r="O8" s="37" t="s">
        <v>243</v>
      </c>
    </row>
    <row r="9" customFormat="false" ht="18" hidden="false" customHeight="true" outlineLevel="0" collapsed="false">
      <c r="A9" s="77" t="n">
        <v>46225</v>
      </c>
      <c r="B9" s="36" t="s">
        <v>144</v>
      </c>
      <c r="C9" s="74" t="s">
        <v>244</v>
      </c>
      <c r="D9" s="6" t="s">
        <v>245</v>
      </c>
      <c r="E9" s="6" t="s">
        <v>186</v>
      </c>
      <c r="F9" s="42" t="n">
        <v>3</v>
      </c>
      <c r="G9" s="44" t="n">
        <v>125</v>
      </c>
      <c r="H9" s="44" t="n">
        <v>124</v>
      </c>
      <c r="I9" s="44" t="n">
        <v>1</v>
      </c>
      <c r="J9" s="44" t="n">
        <f aca="false">H9-G9+I9</f>
        <v>0</v>
      </c>
      <c r="K9" s="44" t="n">
        <v>6</v>
      </c>
      <c r="L9" s="44" t="n">
        <v>71</v>
      </c>
      <c r="M9" s="45" t="n">
        <f aca="false">IF(OR($K9=0,$H9&lt;=0),"",ROUND($H9/($K9/7),0))</f>
        <v>145</v>
      </c>
      <c r="N9" s="45" t="n">
        <v>0</v>
      </c>
      <c r="O9" s="6"/>
    </row>
    <row r="10" customFormat="false" ht="18" hidden="false" customHeight="true" outlineLevel="0" collapsed="false">
      <c r="A10" s="76" t="n">
        <v>46225</v>
      </c>
      <c r="B10" s="37" t="s">
        <v>144</v>
      </c>
      <c r="C10" s="72" t="s">
        <v>246</v>
      </c>
      <c r="D10" s="8" t="s">
        <v>145</v>
      </c>
      <c r="E10" s="8" t="s">
        <v>134</v>
      </c>
      <c r="F10" s="47" t="n">
        <v>1</v>
      </c>
      <c r="G10" s="49" t="n">
        <v>33</v>
      </c>
      <c r="H10" s="49" t="n">
        <v>32</v>
      </c>
      <c r="I10" s="49" t="n">
        <v>1</v>
      </c>
      <c r="J10" s="49" t="n">
        <f aca="false">H10-G10+I10</f>
        <v>0</v>
      </c>
      <c r="K10" s="49" t="n">
        <v>7</v>
      </c>
      <c r="L10" s="49" t="n">
        <v>84</v>
      </c>
      <c r="M10" s="50" t="n">
        <f aca="false">IF(OR($K10=0,$H10&lt;=0),"",ROUND($H10/($K10/7),0))</f>
        <v>32</v>
      </c>
      <c r="N10" s="50" t="n">
        <v>0</v>
      </c>
      <c r="O10" s="8" t="s">
        <v>146</v>
      </c>
    </row>
    <row r="11" customFormat="false" ht="18" hidden="false" customHeight="true" outlineLevel="0" collapsed="false">
      <c r="A11" s="77" t="n">
        <v>46225</v>
      </c>
      <c r="B11" s="36" t="s">
        <v>144</v>
      </c>
      <c r="C11" s="74" t="s">
        <v>247</v>
      </c>
      <c r="D11" s="6" t="s">
        <v>203</v>
      </c>
      <c r="E11" s="6" t="s">
        <v>186</v>
      </c>
      <c r="F11" s="42" t="n">
        <v>3</v>
      </c>
      <c r="G11" s="44" t="n">
        <v>69</v>
      </c>
      <c r="H11" s="44" t="n">
        <v>68</v>
      </c>
      <c r="I11" s="44" t="n">
        <v>1</v>
      </c>
      <c r="J11" s="44" t="n">
        <f aca="false">H11-G11+I11</f>
        <v>0</v>
      </c>
      <c r="K11" s="44" t="n">
        <v>4</v>
      </c>
      <c r="L11" s="44" t="n">
        <v>44</v>
      </c>
      <c r="M11" s="45" t="n">
        <f aca="false">IF(OR($K11=0,$H11&lt;=0),"",ROUND($H11/($K11/7),0))</f>
        <v>119</v>
      </c>
      <c r="N11" s="45" t="n">
        <v>0</v>
      </c>
      <c r="O11" s="6"/>
    </row>
    <row r="12" customFormat="false" ht="18" hidden="false" customHeight="true" outlineLevel="0" collapsed="false">
      <c r="A12" s="76" t="n">
        <v>46225</v>
      </c>
      <c r="B12" s="37" t="s">
        <v>136</v>
      </c>
      <c r="C12" s="72" t="s">
        <v>248</v>
      </c>
      <c r="D12" s="8" t="s">
        <v>137</v>
      </c>
      <c r="E12" s="8" t="s">
        <v>134</v>
      </c>
      <c r="F12" s="47" t="n">
        <v>1</v>
      </c>
      <c r="G12" s="49" t="n">
        <v>19</v>
      </c>
      <c r="H12" s="49" t="n">
        <v>18</v>
      </c>
      <c r="I12" s="49" t="n">
        <v>1</v>
      </c>
      <c r="J12" s="49" t="n">
        <f aca="false">H12-G12+I12</f>
        <v>0</v>
      </c>
      <c r="K12" s="49" t="n">
        <v>5</v>
      </c>
      <c r="L12" s="49" t="n">
        <v>62</v>
      </c>
      <c r="M12" s="50" t="n">
        <f aca="false">IF(OR($K12=0,$H12&lt;=0),"",ROUND($H12/($K12/7),0))</f>
        <v>25</v>
      </c>
      <c r="N12" s="50" t="n">
        <v>0</v>
      </c>
      <c r="O12" s="8" t="s">
        <v>139</v>
      </c>
    </row>
    <row r="13" customFormat="false" ht="18" hidden="false" customHeight="true" outlineLevel="0" collapsed="false">
      <c r="A13" s="77" t="n">
        <v>46225</v>
      </c>
      <c r="B13" s="36" t="s">
        <v>136</v>
      </c>
      <c r="C13" s="74" t="s">
        <v>249</v>
      </c>
      <c r="D13" s="6" t="s">
        <v>155</v>
      </c>
      <c r="E13" s="6" t="s">
        <v>250</v>
      </c>
      <c r="F13" s="42" t="n">
        <v>2</v>
      </c>
      <c r="G13" s="44" t="n">
        <v>4</v>
      </c>
      <c r="H13" s="44" t="n">
        <v>4</v>
      </c>
      <c r="I13" s="44" t="n">
        <v>0</v>
      </c>
      <c r="J13" s="44" t="n">
        <f aca="false">H13-G13+I13</f>
        <v>0</v>
      </c>
      <c r="K13" s="44" t="n">
        <v>3</v>
      </c>
      <c r="L13" s="44" t="n">
        <v>38</v>
      </c>
      <c r="M13" s="45" t="n">
        <f aca="false">IF(OR($K13=0,$H13&lt;=0),"",ROUND($H13/($K13/7),0))</f>
        <v>9</v>
      </c>
      <c r="N13" s="45" t="n">
        <v>12</v>
      </c>
      <c r="O13" s="6" t="s">
        <v>157</v>
      </c>
    </row>
    <row r="14" customFormat="false" ht="18" hidden="false" customHeight="true" outlineLevel="0" collapsed="false">
      <c r="A14" s="76" t="n">
        <v>46226</v>
      </c>
      <c r="B14" s="37" t="s">
        <v>136</v>
      </c>
      <c r="C14" s="72" t="s">
        <v>237</v>
      </c>
      <c r="D14" s="8" t="s">
        <v>153</v>
      </c>
      <c r="E14" s="8" t="s">
        <v>134</v>
      </c>
      <c r="F14" s="47" t="n">
        <v>1</v>
      </c>
      <c r="G14" s="49" t="n">
        <v>65</v>
      </c>
      <c r="H14" s="49" t="n">
        <v>63</v>
      </c>
      <c r="I14" s="49" t="n">
        <v>2</v>
      </c>
      <c r="J14" s="49" t="n">
        <f aca="false">H14-G14+I14</f>
        <v>0</v>
      </c>
      <c r="K14" s="49" t="n">
        <v>14</v>
      </c>
      <c r="L14" s="49" t="n">
        <v>168</v>
      </c>
      <c r="M14" s="50" t="n">
        <f aca="false">IF(OR($K14=0,$H14&lt;=0),"",ROUND($H14/($K14/7),0))</f>
        <v>32</v>
      </c>
      <c r="N14" s="50" t="n">
        <v>0</v>
      </c>
      <c r="O14" s="8" t="s">
        <v>154</v>
      </c>
    </row>
    <row r="15" customFormat="false" ht="18" hidden="false" customHeight="true" outlineLevel="0" collapsed="false">
      <c r="A15" s="77" t="n">
        <v>46226</v>
      </c>
      <c r="B15" s="36" t="s">
        <v>136</v>
      </c>
      <c r="C15" s="74" t="s">
        <v>238</v>
      </c>
      <c r="D15" s="6" t="s">
        <v>163</v>
      </c>
      <c r="E15" s="6" t="s">
        <v>159</v>
      </c>
      <c r="F15" s="42" t="n">
        <v>2</v>
      </c>
      <c r="G15" s="44" t="n">
        <v>131</v>
      </c>
      <c r="H15" s="44" t="n">
        <v>129</v>
      </c>
      <c r="I15" s="44" t="n">
        <v>2</v>
      </c>
      <c r="J15" s="44" t="n">
        <f aca="false">H15-G15+I15</f>
        <v>0</v>
      </c>
      <c r="K15" s="44" t="n">
        <v>14</v>
      </c>
      <c r="L15" s="44" t="n">
        <v>152</v>
      </c>
      <c r="M15" s="45" t="n">
        <f aca="false">IF(OR($K15=0,$H15&lt;=0),"",ROUND($H15/($K15/7),0))</f>
        <v>65</v>
      </c>
      <c r="N15" s="45" t="n">
        <v>0</v>
      </c>
      <c r="O15" s="36" t="s">
        <v>164</v>
      </c>
    </row>
    <row r="16" customFormat="false" ht="18" hidden="false" customHeight="true" outlineLevel="0" collapsed="false">
      <c r="A16" s="76" t="n">
        <v>46226</v>
      </c>
      <c r="B16" s="37" t="s">
        <v>136</v>
      </c>
      <c r="C16" s="72" t="s">
        <v>239</v>
      </c>
      <c r="D16" s="8" t="s">
        <v>200</v>
      </c>
      <c r="E16" s="8" t="s">
        <v>194</v>
      </c>
      <c r="F16" s="47" t="n">
        <v>3</v>
      </c>
      <c r="G16" s="49" t="n">
        <v>267</v>
      </c>
      <c r="H16" s="49" t="n">
        <v>266</v>
      </c>
      <c r="I16" s="49" t="n">
        <v>1</v>
      </c>
      <c r="J16" s="49" t="n">
        <f aca="false">H16-G16+I16</f>
        <v>0</v>
      </c>
      <c r="K16" s="49" t="n">
        <v>9</v>
      </c>
      <c r="L16" s="49" t="n">
        <v>96</v>
      </c>
      <c r="M16" s="50" t="n">
        <f aca="false">IF(OR($K16=0,$H16&lt;=0),"",ROUND($H16/($K16/7),0))</f>
        <v>207</v>
      </c>
      <c r="N16" s="50" t="n">
        <v>0</v>
      </c>
      <c r="O16" s="8" t="s">
        <v>240</v>
      </c>
    </row>
    <row r="17" customFormat="false" ht="18" hidden="false" customHeight="true" outlineLevel="0" collapsed="false">
      <c r="A17" s="77" t="n">
        <v>46226</v>
      </c>
      <c r="B17" s="36" t="s">
        <v>136</v>
      </c>
      <c r="C17" s="74" t="s">
        <v>241</v>
      </c>
      <c r="D17" s="6" t="s">
        <v>202</v>
      </c>
      <c r="E17" s="6" t="s">
        <v>186</v>
      </c>
      <c r="F17" s="42" t="n">
        <v>3</v>
      </c>
      <c r="G17" s="44" t="n">
        <v>198</v>
      </c>
      <c r="H17" s="44" t="n">
        <v>196</v>
      </c>
      <c r="I17" s="44" t="n">
        <v>2</v>
      </c>
      <c r="J17" s="44" t="n">
        <f aca="false">H17-G17+I17</f>
        <v>0</v>
      </c>
      <c r="K17" s="44" t="n">
        <v>14</v>
      </c>
      <c r="L17" s="44" t="n">
        <v>158</v>
      </c>
      <c r="M17" s="45" t="n">
        <f aca="false">IF(OR($K17=0,$H17&lt;=0),"",ROUND($H17/($K17/7),0))</f>
        <v>98</v>
      </c>
      <c r="N17" s="45" t="n">
        <v>0</v>
      </c>
      <c r="O17" s="6"/>
    </row>
    <row r="18" customFormat="false" ht="18" hidden="false" customHeight="true" outlineLevel="0" collapsed="false">
      <c r="A18" s="76" t="n">
        <v>46226</v>
      </c>
      <c r="B18" s="37" t="s">
        <v>136</v>
      </c>
      <c r="C18" s="72" t="s">
        <v>242</v>
      </c>
      <c r="D18" s="8" t="s">
        <v>173</v>
      </c>
      <c r="E18" s="8" t="s">
        <v>174</v>
      </c>
      <c r="F18" s="47" t="n">
        <v>3</v>
      </c>
      <c r="G18" s="49" t="n">
        <v>4</v>
      </c>
      <c r="H18" s="49" t="n">
        <v>4</v>
      </c>
      <c r="I18" s="49" t="n">
        <v>0</v>
      </c>
      <c r="J18" s="49" t="n">
        <f aca="false">H18-G18+I18</f>
        <v>0</v>
      </c>
      <c r="K18" s="49" t="n">
        <v>0</v>
      </c>
      <c r="L18" s="49" t="n">
        <v>12</v>
      </c>
      <c r="M18" s="50" t="str">
        <f aca="false">IF(OR($K18=0,$H18&lt;=0),"",ROUND($H18/($K18/7),0))</f>
        <v/>
      </c>
      <c r="N18" s="50" t="n">
        <v>0</v>
      </c>
      <c r="O18" s="37" t="s">
        <v>243</v>
      </c>
    </row>
    <row r="19" customFormat="false" ht="18" hidden="false" customHeight="true" outlineLevel="0" collapsed="false">
      <c r="A19" s="77" t="n">
        <v>46226</v>
      </c>
      <c r="B19" s="36" t="s">
        <v>144</v>
      </c>
      <c r="C19" s="74" t="s">
        <v>244</v>
      </c>
      <c r="D19" s="6" t="s">
        <v>245</v>
      </c>
      <c r="E19" s="6" t="s">
        <v>186</v>
      </c>
      <c r="F19" s="42" t="n">
        <v>3</v>
      </c>
      <c r="G19" s="44" t="n">
        <v>122</v>
      </c>
      <c r="H19" s="44" t="n">
        <v>121</v>
      </c>
      <c r="I19" s="44" t="n">
        <v>1</v>
      </c>
      <c r="J19" s="44" t="n">
        <f aca="false">H19-G19+I19</f>
        <v>0</v>
      </c>
      <c r="K19" s="44" t="n">
        <v>6</v>
      </c>
      <c r="L19" s="44" t="n">
        <v>71</v>
      </c>
      <c r="M19" s="45" t="n">
        <f aca="false">IF(OR($K19=0,$H19&lt;=0),"",ROUND($H19/($K19/7),0))</f>
        <v>141</v>
      </c>
      <c r="N19" s="45" t="n">
        <v>0</v>
      </c>
      <c r="O19" s="6"/>
    </row>
    <row r="20" customFormat="false" ht="18" hidden="false" customHeight="true" outlineLevel="0" collapsed="false">
      <c r="A20" s="76" t="n">
        <v>46226</v>
      </c>
      <c r="B20" s="37" t="s">
        <v>144</v>
      </c>
      <c r="C20" s="72" t="s">
        <v>246</v>
      </c>
      <c r="D20" s="8" t="s">
        <v>145</v>
      </c>
      <c r="E20" s="8" t="s">
        <v>134</v>
      </c>
      <c r="F20" s="47" t="n">
        <v>1</v>
      </c>
      <c r="G20" s="49" t="n">
        <v>30</v>
      </c>
      <c r="H20" s="49" t="n">
        <v>29</v>
      </c>
      <c r="I20" s="49" t="n">
        <v>1</v>
      </c>
      <c r="J20" s="49" t="n">
        <f aca="false">H20-G20+I20</f>
        <v>0</v>
      </c>
      <c r="K20" s="49" t="n">
        <v>7</v>
      </c>
      <c r="L20" s="49" t="n">
        <v>84</v>
      </c>
      <c r="M20" s="50" t="n">
        <f aca="false">IF(OR($K20=0,$H20&lt;=0),"",ROUND($H20/($K20/7),0))</f>
        <v>29</v>
      </c>
      <c r="N20" s="50" t="n">
        <v>0</v>
      </c>
      <c r="O20" s="8" t="s">
        <v>146</v>
      </c>
    </row>
    <row r="21" customFormat="false" ht="18" hidden="false" customHeight="true" outlineLevel="0" collapsed="false">
      <c r="A21" s="77" t="n">
        <v>46226</v>
      </c>
      <c r="B21" s="36" t="s">
        <v>144</v>
      </c>
      <c r="C21" s="74" t="s">
        <v>247</v>
      </c>
      <c r="D21" s="6" t="s">
        <v>203</v>
      </c>
      <c r="E21" s="6" t="s">
        <v>186</v>
      </c>
      <c r="F21" s="42" t="n">
        <v>3</v>
      </c>
      <c r="G21" s="44" t="n">
        <v>66</v>
      </c>
      <c r="H21" s="44" t="n">
        <v>65</v>
      </c>
      <c r="I21" s="44" t="n">
        <v>1</v>
      </c>
      <c r="J21" s="44" t="n">
        <f aca="false">H21-G21+I21</f>
        <v>0</v>
      </c>
      <c r="K21" s="44" t="n">
        <v>4</v>
      </c>
      <c r="L21" s="44" t="n">
        <v>44</v>
      </c>
      <c r="M21" s="45" t="n">
        <f aca="false">IF(OR($K21=0,$H21&lt;=0),"",ROUND($H21/($K21/7),0))</f>
        <v>114</v>
      </c>
      <c r="N21" s="45" t="n">
        <v>0</v>
      </c>
      <c r="O21" s="6"/>
    </row>
    <row r="22" customFormat="false" ht="18" hidden="false" customHeight="true" outlineLevel="0" collapsed="false">
      <c r="A22" s="76" t="n">
        <v>46226</v>
      </c>
      <c r="B22" s="37" t="s">
        <v>136</v>
      </c>
      <c r="C22" s="72" t="s">
        <v>248</v>
      </c>
      <c r="D22" s="8" t="s">
        <v>137</v>
      </c>
      <c r="E22" s="8" t="s">
        <v>134</v>
      </c>
      <c r="F22" s="47" t="n">
        <v>1</v>
      </c>
      <c r="G22" s="49" t="n">
        <v>16</v>
      </c>
      <c r="H22" s="49" t="n">
        <v>15</v>
      </c>
      <c r="I22" s="49" t="n">
        <v>1</v>
      </c>
      <c r="J22" s="49" t="n">
        <f aca="false">H22-G22+I22</f>
        <v>0</v>
      </c>
      <c r="K22" s="49" t="n">
        <v>5</v>
      </c>
      <c r="L22" s="49" t="n">
        <v>62</v>
      </c>
      <c r="M22" s="50" t="n">
        <f aca="false">IF(OR($K22=0,$H22&lt;=0),"",ROUND($H22/($K22/7),0))</f>
        <v>21</v>
      </c>
      <c r="N22" s="50" t="n">
        <v>0</v>
      </c>
      <c r="O22" s="8" t="s">
        <v>139</v>
      </c>
    </row>
    <row r="23" customFormat="false" ht="18" hidden="false" customHeight="true" outlineLevel="0" collapsed="false">
      <c r="A23" s="77" t="n">
        <v>46226</v>
      </c>
      <c r="B23" s="36" t="s">
        <v>136</v>
      </c>
      <c r="C23" s="74" t="s">
        <v>249</v>
      </c>
      <c r="D23" s="6" t="s">
        <v>155</v>
      </c>
      <c r="E23" s="6" t="s">
        <v>250</v>
      </c>
      <c r="F23" s="42" t="n">
        <v>2</v>
      </c>
      <c r="G23" s="44" t="n">
        <v>1</v>
      </c>
      <c r="H23" s="44" t="n">
        <v>1</v>
      </c>
      <c r="I23" s="44" t="n">
        <v>0</v>
      </c>
      <c r="J23" s="44" t="n">
        <f aca="false">H23-G23+I23</f>
        <v>0</v>
      </c>
      <c r="K23" s="44" t="n">
        <v>3</v>
      </c>
      <c r="L23" s="44" t="n">
        <v>38</v>
      </c>
      <c r="M23" s="45" t="n">
        <f aca="false">IF(OR($K23=0,$H23&lt;=0),"",ROUND($H23/($K23/7),0))</f>
        <v>2</v>
      </c>
      <c r="N23" s="45" t="n">
        <v>12</v>
      </c>
      <c r="O23" s="6" t="s">
        <v>157</v>
      </c>
    </row>
    <row r="24" customFormat="false" ht="18" hidden="false" customHeight="true" outlineLevel="0" collapsed="false">
      <c r="A24" s="76" t="n">
        <v>46227</v>
      </c>
      <c r="B24" s="37" t="s">
        <v>136</v>
      </c>
      <c r="C24" s="72" t="s">
        <v>237</v>
      </c>
      <c r="D24" s="8" t="s">
        <v>153</v>
      </c>
      <c r="E24" s="8" t="s">
        <v>134</v>
      </c>
      <c r="F24" s="47" t="n">
        <v>1</v>
      </c>
      <c r="G24" s="49" t="n">
        <v>69</v>
      </c>
      <c r="H24" s="49" t="n">
        <v>67</v>
      </c>
      <c r="I24" s="49" t="n">
        <v>2</v>
      </c>
      <c r="J24" s="49" t="n">
        <f aca="false">H24-G24+I24</f>
        <v>0</v>
      </c>
      <c r="K24" s="49" t="n">
        <v>14</v>
      </c>
      <c r="L24" s="49" t="n">
        <v>168</v>
      </c>
      <c r="M24" s="50" t="n">
        <f aca="false">IF(OR($K24=0,$H24&lt;=0),"",ROUND($H24/($K24/7),0))</f>
        <v>34</v>
      </c>
      <c r="N24" s="50" t="n">
        <v>0</v>
      </c>
      <c r="O24" s="8" t="s">
        <v>154</v>
      </c>
    </row>
    <row r="25" customFormat="false" ht="18" hidden="false" customHeight="true" outlineLevel="0" collapsed="false">
      <c r="A25" s="77" t="n">
        <v>46227</v>
      </c>
      <c r="B25" s="36" t="s">
        <v>136</v>
      </c>
      <c r="C25" s="74" t="s">
        <v>238</v>
      </c>
      <c r="D25" s="6" t="s">
        <v>163</v>
      </c>
      <c r="E25" s="6" t="s">
        <v>159</v>
      </c>
      <c r="F25" s="42" t="n">
        <v>2</v>
      </c>
      <c r="G25" s="44" t="n">
        <v>135</v>
      </c>
      <c r="H25" s="44" t="n">
        <v>133</v>
      </c>
      <c r="I25" s="44" t="n">
        <v>2</v>
      </c>
      <c r="J25" s="44" t="n">
        <f aca="false">H25-G25+I25</f>
        <v>0</v>
      </c>
      <c r="K25" s="44" t="n">
        <v>14</v>
      </c>
      <c r="L25" s="44" t="n">
        <v>152</v>
      </c>
      <c r="M25" s="45" t="n">
        <f aca="false">IF(OR($K25=0,$H25&lt;=0),"",ROUND($H25/($K25/7),0))</f>
        <v>67</v>
      </c>
      <c r="N25" s="45" t="n">
        <v>0</v>
      </c>
      <c r="O25" s="36" t="s">
        <v>164</v>
      </c>
    </row>
    <row r="26" customFormat="false" ht="18" hidden="false" customHeight="true" outlineLevel="0" collapsed="false">
      <c r="A26" s="76" t="n">
        <v>46227</v>
      </c>
      <c r="B26" s="37" t="s">
        <v>136</v>
      </c>
      <c r="C26" s="72" t="s">
        <v>239</v>
      </c>
      <c r="D26" s="8" t="s">
        <v>200</v>
      </c>
      <c r="E26" s="8" t="s">
        <v>194</v>
      </c>
      <c r="F26" s="47" t="n">
        <v>3</v>
      </c>
      <c r="G26" s="49" t="n">
        <v>271</v>
      </c>
      <c r="H26" s="49" t="n">
        <v>270</v>
      </c>
      <c r="I26" s="49" t="n">
        <v>1</v>
      </c>
      <c r="J26" s="49" t="n">
        <f aca="false">H26-G26+I26</f>
        <v>0</v>
      </c>
      <c r="K26" s="49" t="n">
        <v>9</v>
      </c>
      <c r="L26" s="49" t="n">
        <v>96</v>
      </c>
      <c r="M26" s="50" t="n">
        <f aca="false">IF(OR($K26=0,$H26&lt;=0),"",ROUND($H26/($K26/7),0))</f>
        <v>210</v>
      </c>
      <c r="N26" s="50" t="n">
        <v>0</v>
      </c>
      <c r="O26" s="8" t="s">
        <v>240</v>
      </c>
    </row>
    <row r="27" customFormat="false" ht="18" hidden="false" customHeight="true" outlineLevel="0" collapsed="false">
      <c r="A27" s="77" t="n">
        <v>46227</v>
      </c>
      <c r="B27" s="36" t="s">
        <v>136</v>
      </c>
      <c r="C27" s="74" t="s">
        <v>241</v>
      </c>
      <c r="D27" s="6" t="s">
        <v>202</v>
      </c>
      <c r="E27" s="6" t="s">
        <v>186</v>
      </c>
      <c r="F27" s="42" t="n">
        <v>3</v>
      </c>
      <c r="G27" s="44" t="n">
        <v>202</v>
      </c>
      <c r="H27" s="44" t="n">
        <v>200</v>
      </c>
      <c r="I27" s="44" t="n">
        <v>2</v>
      </c>
      <c r="J27" s="44" t="n">
        <f aca="false">H27-G27+I27</f>
        <v>0</v>
      </c>
      <c r="K27" s="44" t="n">
        <v>14</v>
      </c>
      <c r="L27" s="44" t="n">
        <v>158</v>
      </c>
      <c r="M27" s="45" t="n">
        <f aca="false">IF(OR($K27=0,$H27&lt;=0),"",ROUND($H27/($K27/7),0))</f>
        <v>100</v>
      </c>
      <c r="N27" s="45" t="n">
        <v>0</v>
      </c>
      <c r="O27" s="6"/>
    </row>
    <row r="28" customFormat="false" ht="18" hidden="false" customHeight="true" outlineLevel="0" collapsed="false">
      <c r="A28" s="76" t="n">
        <v>46227</v>
      </c>
      <c r="B28" s="37" t="s">
        <v>136</v>
      </c>
      <c r="C28" s="72" t="s">
        <v>242</v>
      </c>
      <c r="D28" s="8" t="s">
        <v>173</v>
      </c>
      <c r="E28" s="8" t="s">
        <v>174</v>
      </c>
      <c r="F28" s="47" t="n">
        <v>3</v>
      </c>
      <c r="G28" s="49" t="n">
        <v>8</v>
      </c>
      <c r="H28" s="49" t="n">
        <v>8</v>
      </c>
      <c r="I28" s="49" t="n">
        <v>0</v>
      </c>
      <c r="J28" s="49" t="n">
        <f aca="false">H28-G28+I28</f>
        <v>0</v>
      </c>
      <c r="K28" s="49" t="n">
        <v>0</v>
      </c>
      <c r="L28" s="49" t="n">
        <v>12</v>
      </c>
      <c r="M28" s="50" t="str">
        <f aca="false">IF(OR($K28=0,$H28&lt;=0),"",ROUND($H28/($K28/7),0))</f>
        <v/>
      </c>
      <c r="N28" s="50" t="n">
        <v>0</v>
      </c>
      <c r="O28" s="37" t="s">
        <v>243</v>
      </c>
    </row>
    <row r="29" customFormat="false" ht="18" hidden="false" customHeight="true" outlineLevel="0" collapsed="false">
      <c r="A29" s="77" t="n">
        <v>46227</v>
      </c>
      <c r="B29" s="36" t="s">
        <v>144</v>
      </c>
      <c r="C29" s="74" t="s">
        <v>244</v>
      </c>
      <c r="D29" s="6" t="s">
        <v>245</v>
      </c>
      <c r="E29" s="6" t="s">
        <v>186</v>
      </c>
      <c r="F29" s="42" t="n">
        <v>3</v>
      </c>
      <c r="G29" s="44" t="n">
        <v>126</v>
      </c>
      <c r="H29" s="44" t="n">
        <v>125</v>
      </c>
      <c r="I29" s="44" t="n">
        <v>1</v>
      </c>
      <c r="J29" s="44" t="n">
        <f aca="false">H29-G29+I29</f>
        <v>0</v>
      </c>
      <c r="K29" s="44" t="n">
        <v>6</v>
      </c>
      <c r="L29" s="44" t="n">
        <v>71</v>
      </c>
      <c r="M29" s="45" t="n">
        <f aca="false">IF(OR($K29=0,$H29&lt;=0),"",ROUND($H29/($K29/7),0))</f>
        <v>146</v>
      </c>
      <c r="N29" s="45" t="n">
        <v>0</v>
      </c>
      <c r="O29" s="6"/>
    </row>
    <row r="30" customFormat="false" ht="18" hidden="false" customHeight="true" outlineLevel="0" collapsed="false">
      <c r="A30" s="76" t="n">
        <v>46227</v>
      </c>
      <c r="B30" s="37" t="s">
        <v>144</v>
      </c>
      <c r="C30" s="72" t="s">
        <v>246</v>
      </c>
      <c r="D30" s="8" t="s">
        <v>145</v>
      </c>
      <c r="E30" s="8" t="s">
        <v>134</v>
      </c>
      <c r="F30" s="47" t="n">
        <v>1</v>
      </c>
      <c r="G30" s="49" t="n">
        <v>34</v>
      </c>
      <c r="H30" s="49" t="n">
        <v>33</v>
      </c>
      <c r="I30" s="49" t="n">
        <v>1</v>
      </c>
      <c r="J30" s="49" t="n">
        <f aca="false">H30-G30+I30</f>
        <v>0</v>
      </c>
      <c r="K30" s="49" t="n">
        <v>7</v>
      </c>
      <c r="L30" s="49" t="n">
        <v>84</v>
      </c>
      <c r="M30" s="50" t="n">
        <f aca="false">IF(OR($K30=0,$H30&lt;=0),"",ROUND($H30/($K30/7),0))</f>
        <v>33</v>
      </c>
      <c r="N30" s="50" t="n">
        <v>0</v>
      </c>
      <c r="O30" s="8" t="s">
        <v>146</v>
      </c>
    </row>
    <row r="31" customFormat="false" ht="18" hidden="false" customHeight="true" outlineLevel="0" collapsed="false">
      <c r="A31" s="77" t="n">
        <v>46227</v>
      </c>
      <c r="B31" s="36" t="s">
        <v>144</v>
      </c>
      <c r="C31" s="74" t="s">
        <v>247</v>
      </c>
      <c r="D31" s="6" t="s">
        <v>203</v>
      </c>
      <c r="E31" s="6" t="s">
        <v>186</v>
      </c>
      <c r="F31" s="42" t="n">
        <v>3</v>
      </c>
      <c r="G31" s="44" t="n">
        <v>70</v>
      </c>
      <c r="H31" s="44" t="n">
        <v>69</v>
      </c>
      <c r="I31" s="44" t="n">
        <v>1</v>
      </c>
      <c r="J31" s="44" t="n">
        <f aca="false">H31-G31+I31</f>
        <v>0</v>
      </c>
      <c r="K31" s="44" t="n">
        <v>4</v>
      </c>
      <c r="L31" s="44" t="n">
        <v>44</v>
      </c>
      <c r="M31" s="45" t="n">
        <f aca="false">IF(OR($K31=0,$H31&lt;=0),"",ROUND($H31/($K31/7),0))</f>
        <v>121</v>
      </c>
      <c r="N31" s="45" t="n">
        <v>0</v>
      </c>
      <c r="O31" s="6"/>
    </row>
    <row r="32" customFormat="false" ht="18" hidden="false" customHeight="true" outlineLevel="0" collapsed="false">
      <c r="A32" s="76" t="n">
        <v>46227</v>
      </c>
      <c r="B32" s="37" t="s">
        <v>136</v>
      </c>
      <c r="C32" s="72" t="s">
        <v>248</v>
      </c>
      <c r="D32" s="8" t="s">
        <v>137</v>
      </c>
      <c r="E32" s="8" t="s">
        <v>134</v>
      </c>
      <c r="F32" s="47" t="n">
        <v>1</v>
      </c>
      <c r="G32" s="49" t="n">
        <v>20</v>
      </c>
      <c r="H32" s="49" t="n">
        <v>19</v>
      </c>
      <c r="I32" s="49" t="n">
        <v>1</v>
      </c>
      <c r="J32" s="49" t="n">
        <f aca="false">H32-G32+I32</f>
        <v>0</v>
      </c>
      <c r="K32" s="49" t="n">
        <v>5</v>
      </c>
      <c r="L32" s="49" t="n">
        <v>62</v>
      </c>
      <c r="M32" s="50" t="n">
        <f aca="false">IF(OR($K32=0,$H32&lt;=0),"",ROUND($H32/($K32/7),0))</f>
        <v>27</v>
      </c>
      <c r="N32" s="50" t="n">
        <v>0</v>
      </c>
      <c r="O32" s="8" t="s">
        <v>139</v>
      </c>
    </row>
    <row r="33" customFormat="false" ht="18" hidden="false" customHeight="true" outlineLevel="0" collapsed="false">
      <c r="A33" s="77" t="n">
        <v>46227</v>
      </c>
      <c r="B33" s="36" t="s">
        <v>136</v>
      </c>
      <c r="C33" s="74" t="s">
        <v>249</v>
      </c>
      <c r="D33" s="6" t="s">
        <v>155</v>
      </c>
      <c r="E33" s="6" t="s">
        <v>250</v>
      </c>
      <c r="F33" s="42" t="n">
        <v>2</v>
      </c>
      <c r="G33" s="44" t="n">
        <v>5</v>
      </c>
      <c r="H33" s="44" t="n">
        <v>5</v>
      </c>
      <c r="I33" s="44" t="n">
        <v>0</v>
      </c>
      <c r="J33" s="44" t="n">
        <f aca="false">H33-G33+I33</f>
        <v>0</v>
      </c>
      <c r="K33" s="44" t="n">
        <v>3</v>
      </c>
      <c r="L33" s="44" t="n">
        <v>38</v>
      </c>
      <c r="M33" s="45" t="n">
        <f aca="false">IF(OR($K33=0,$H33&lt;=0),"",ROUND($H33/($K33/7),0))</f>
        <v>12</v>
      </c>
      <c r="N33" s="45" t="n">
        <v>12</v>
      </c>
      <c r="O33" s="6" t="s">
        <v>157</v>
      </c>
    </row>
    <row r="34" customFormat="false" ht="18" hidden="false" customHeight="true" outlineLevel="0" collapsed="false">
      <c r="A34" s="76" t="n">
        <v>46228</v>
      </c>
      <c r="B34" s="37" t="s">
        <v>136</v>
      </c>
      <c r="C34" s="72" t="s">
        <v>237</v>
      </c>
      <c r="D34" s="8" t="s">
        <v>153</v>
      </c>
      <c r="E34" s="8" t="s">
        <v>134</v>
      </c>
      <c r="F34" s="47" t="n">
        <v>1</v>
      </c>
      <c r="G34" s="49" t="n">
        <v>66</v>
      </c>
      <c r="H34" s="49" t="n">
        <v>64</v>
      </c>
      <c r="I34" s="49" t="n">
        <v>2</v>
      </c>
      <c r="J34" s="49" t="n">
        <f aca="false">H34-G34+I34</f>
        <v>0</v>
      </c>
      <c r="K34" s="49" t="n">
        <v>14</v>
      </c>
      <c r="L34" s="49" t="n">
        <v>168</v>
      </c>
      <c r="M34" s="50" t="n">
        <f aca="false">IF(OR($K34=0,$H34&lt;=0),"",ROUND($H34/($K34/7),0))</f>
        <v>32</v>
      </c>
      <c r="N34" s="50" t="n">
        <v>0</v>
      </c>
      <c r="O34" s="8" t="s">
        <v>154</v>
      </c>
    </row>
    <row r="35" customFormat="false" ht="18" hidden="false" customHeight="true" outlineLevel="0" collapsed="false">
      <c r="A35" s="77" t="n">
        <v>46228</v>
      </c>
      <c r="B35" s="36" t="s">
        <v>136</v>
      </c>
      <c r="C35" s="74" t="s">
        <v>238</v>
      </c>
      <c r="D35" s="6" t="s">
        <v>163</v>
      </c>
      <c r="E35" s="6" t="s">
        <v>159</v>
      </c>
      <c r="F35" s="42" t="n">
        <v>2</v>
      </c>
      <c r="G35" s="44" t="n">
        <v>132</v>
      </c>
      <c r="H35" s="44" t="n">
        <v>130</v>
      </c>
      <c r="I35" s="44" t="n">
        <v>2</v>
      </c>
      <c r="J35" s="44" t="n">
        <f aca="false">H35-G35+I35</f>
        <v>0</v>
      </c>
      <c r="K35" s="44" t="n">
        <v>14</v>
      </c>
      <c r="L35" s="44" t="n">
        <v>152</v>
      </c>
      <c r="M35" s="45" t="n">
        <f aca="false">IF(OR($K35=0,$H35&lt;=0),"",ROUND($H35/($K35/7),0))</f>
        <v>65</v>
      </c>
      <c r="N35" s="45" t="n">
        <v>0</v>
      </c>
      <c r="O35" s="36" t="s">
        <v>164</v>
      </c>
    </row>
    <row r="36" customFormat="false" ht="18" hidden="false" customHeight="true" outlineLevel="0" collapsed="false">
      <c r="A36" s="76" t="n">
        <v>46228</v>
      </c>
      <c r="B36" s="37" t="s">
        <v>136</v>
      </c>
      <c r="C36" s="72" t="s">
        <v>239</v>
      </c>
      <c r="D36" s="8" t="s">
        <v>200</v>
      </c>
      <c r="E36" s="8" t="s">
        <v>194</v>
      </c>
      <c r="F36" s="47" t="n">
        <v>3</v>
      </c>
      <c r="G36" s="49" t="n">
        <v>268</v>
      </c>
      <c r="H36" s="49" t="n">
        <v>267</v>
      </c>
      <c r="I36" s="49" t="n">
        <v>1</v>
      </c>
      <c r="J36" s="49" t="n">
        <f aca="false">H36-G36+I36</f>
        <v>0</v>
      </c>
      <c r="K36" s="49" t="n">
        <v>9</v>
      </c>
      <c r="L36" s="49" t="n">
        <v>96</v>
      </c>
      <c r="M36" s="50" t="n">
        <f aca="false">IF(OR($K36=0,$H36&lt;=0),"",ROUND($H36/($K36/7),0))</f>
        <v>208</v>
      </c>
      <c r="N36" s="50" t="n">
        <v>0</v>
      </c>
      <c r="O36" s="8" t="s">
        <v>240</v>
      </c>
    </row>
    <row r="37" customFormat="false" ht="18" hidden="false" customHeight="true" outlineLevel="0" collapsed="false">
      <c r="A37" s="77" t="n">
        <v>46228</v>
      </c>
      <c r="B37" s="36" t="s">
        <v>136</v>
      </c>
      <c r="C37" s="74" t="s">
        <v>241</v>
      </c>
      <c r="D37" s="6" t="s">
        <v>202</v>
      </c>
      <c r="E37" s="6" t="s">
        <v>186</v>
      </c>
      <c r="F37" s="42" t="n">
        <v>3</v>
      </c>
      <c r="G37" s="44" t="n">
        <v>199</v>
      </c>
      <c r="H37" s="44" t="n">
        <v>197</v>
      </c>
      <c r="I37" s="44" t="n">
        <v>2</v>
      </c>
      <c r="J37" s="44" t="n">
        <f aca="false">H37-G37+I37</f>
        <v>0</v>
      </c>
      <c r="K37" s="44" t="n">
        <v>14</v>
      </c>
      <c r="L37" s="44" t="n">
        <v>158</v>
      </c>
      <c r="M37" s="45" t="n">
        <f aca="false">IF(OR($K37=0,$H37&lt;=0),"",ROUND($H37/($K37/7),0))</f>
        <v>99</v>
      </c>
      <c r="N37" s="45" t="n">
        <v>0</v>
      </c>
      <c r="O37" s="6"/>
    </row>
    <row r="38" customFormat="false" ht="18" hidden="false" customHeight="true" outlineLevel="0" collapsed="false">
      <c r="A38" s="76" t="n">
        <v>46228</v>
      </c>
      <c r="B38" s="37" t="s">
        <v>136</v>
      </c>
      <c r="C38" s="72" t="s">
        <v>242</v>
      </c>
      <c r="D38" s="8" t="s">
        <v>173</v>
      </c>
      <c r="E38" s="8" t="s">
        <v>174</v>
      </c>
      <c r="F38" s="47" t="n">
        <v>3</v>
      </c>
      <c r="G38" s="49" t="n">
        <v>5</v>
      </c>
      <c r="H38" s="49" t="n">
        <v>5</v>
      </c>
      <c r="I38" s="49" t="n">
        <v>0</v>
      </c>
      <c r="J38" s="49" t="n">
        <f aca="false">H38-G38+I38</f>
        <v>0</v>
      </c>
      <c r="K38" s="49" t="n">
        <v>0</v>
      </c>
      <c r="L38" s="49" t="n">
        <v>12</v>
      </c>
      <c r="M38" s="50" t="str">
        <f aca="false">IF(OR($K38=0,$H38&lt;=0),"",ROUND($H38/($K38/7),0))</f>
        <v/>
      </c>
      <c r="N38" s="50" t="n">
        <v>0</v>
      </c>
      <c r="O38" s="37" t="s">
        <v>243</v>
      </c>
    </row>
    <row r="39" customFormat="false" ht="18" hidden="false" customHeight="true" outlineLevel="0" collapsed="false">
      <c r="A39" s="77" t="n">
        <v>46228</v>
      </c>
      <c r="B39" s="36" t="s">
        <v>144</v>
      </c>
      <c r="C39" s="74" t="s">
        <v>244</v>
      </c>
      <c r="D39" s="6" t="s">
        <v>245</v>
      </c>
      <c r="E39" s="6" t="s">
        <v>186</v>
      </c>
      <c r="F39" s="42" t="n">
        <v>3</v>
      </c>
      <c r="G39" s="44" t="n">
        <v>123</v>
      </c>
      <c r="H39" s="44" t="n">
        <v>122</v>
      </c>
      <c r="I39" s="44" t="n">
        <v>1</v>
      </c>
      <c r="J39" s="44" t="n">
        <f aca="false">H39-G39+I39</f>
        <v>0</v>
      </c>
      <c r="K39" s="44" t="n">
        <v>6</v>
      </c>
      <c r="L39" s="44" t="n">
        <v>71</v>
      </c>
      <c r="M39" s="45" t="n">
        <f aca="false">IF(OR($K39=0,$H39&lt;=0),"",ROUND($H39/($K39/7),0))</f>
        <v>142</v>
      </c>
      <c r="N39" s="45" t="n">
        <v>0</v>
      </c>
      <c r="O39" s="6"/>
    </row>
    <row r="40" customFormat="false" ht="18" hidden="false" customHeight="true" outlineLevel="0" collapsed="false">
      <c r="A40" s="76" t="n">
        <v>46228</v>
      </c>
      <c r="B40" s="37" t="s">
        <v>144</v>
      </c>
      <c r="C40" s="72" t="s">
        <v>246</v>
      </c>
      <c r="D40" s="8" t="s">
        <v>145</v>
      </c>
      <c r="E40" s="8" t="s">
        <v>134</v>
      </c>
      <c r="F40" s="47" t="n">
        <v>1</v>
      </c>
      <c r="G40" s="49" t="n">
        <v>31</v>
      </c>
      <c r="H40" s="49" t="n">
        <v>30</v>
      </c>
      <c r="I40" s="49" t="n">
        <v>1</v>
      </c>
      <c r="J40" s="49" t="n">
        <f aca="false">H40-G40+I40</f>
        <v>0</v>
      </c>
      <c r="K40" s="49" t="n">
        <v>7</v>
      </c>
      <c r="L40" s="49" t="n">
        <v>84</v>
      </c>
      <c r="M40" s="50" t="n">
        <f aca="false">IF(OR($K40=0,$H40&lt;=0),"",ROUND($H40/($K40/7),0))</f>
        <v>30</v>
      </c>
      <c r="N40" s="50" t="n">
        <v>0</v>
      </c>
      <c r="O40" s="8" t="s">
        <v>146</v>
      </c>
    </row>
    <row r="41" customFormat="false" ht="18" hidden="false" customHeight="true" outlineLevel="0" collapsed="false">
      <c r="A41" s="77" t="n">
        <v>46228</v>
      </c>
      <c r="B41" s="36" t="s">
        <v>144</v>
      </c>
      <c r="C41" s="74" t="s">
        <v>247</v>
      </c>
      <c r="D41" s="6" t="s">
        <v>203</v>
      </c>
      <c r="E41" s="6" t="s">
        <v>186</v>
      </c>
      <c r="F41" s="42" t="n">
        <v>3</v>
      </c>
      <c r="G41" s="44" t="n">
        <v>67</v>
      </c>
      <c r="H41" s="44" t="n">
        <v>66</v>
      </c>
      <c r="I41" s="44" t="n">
        <v>1</v>
      </c>
      <c r="J41" s="44" t="n">
        <f aca="false">H41-G41+I41</f>
        <v>0</v>
      </c>
      <c r="K41" s="44" t="n">
        <v>4</v>
      </c>
      <c r="L41" s="44" t="n">
        <v>44</v>
      </c>
      <c r="M41" s="45" t="n">
        <f aca="false">IF(OR($K41=0,$H41&lt;=0),"",ROUND($H41/($K41/7),0))</f>
        <v>116</v>
      </c>
      <c r="N41" s="45" t="n">
        <v>0</v>
      </c>
      <c r="O41" s="6"/>
    </row>
    <row r="42" customFormat="false" ht="18" hidden="false" customHeight="true" outlineLevel="0" collapsed="false">
      <c r="A42" s="76" t="n">
        <v>46228</v>
      </c>
      <c r="B42" s="37" t="s">
        <v>136</v>
      </c>
      <c r="C42" s="72" t="s">
        <v>248</v>
      </c>
      <c r="D42" s="8" t="s">
        <v>137</v>
      </c>
      <c r="E42" s="8" t="s">
        <v>134</v>
      </c>
      <c r="F42" s="47" t="n">
        <v>1</v>
      </c>
      <c r="G42" s="49" t="n">
        <v>17</v>
      </c>
      <c r="H42" s="49" t="n">
        <v>16</v>
      </c>
      <c r="I42" s="49" t="n">
        <v>1</v>
      </c>
      <c r="J42" s="49" t="n">
        <f aca="false">H42-G42+I42</f>
        <v>0</v>
      </c>
      <c r="K42" s="49" t="n">
        <v>5</v>
      </c>
      <c r="L42" s="49" t="n">
        <v>62</v>
      </c>
      <c r="M42" s="50" t="n">
        <f aca="false">IF(OR($K42=0,$H42&lt;=0),"",ROUND($H42/($K42/7),0))</f>
        <v>22</v>
      </c>
      <c r="N42" s="50" t="n">
        <v>0</v>
      </c>
      <c r="O42" s="8" t="s">
        <v>139</v>
      </c>
    </row>
    <row r="43" customFormat="false" ht="18" hidden="false" customHeight="true" outlineLevel="0" collapsed="false">
      <c r="A43" s="77" t="n">
        <v>46228</v>
      </c>
      <c r="B43" s="36" t="s">
        <v>136</v>
      </c>
      <c r="C43" s="74" t="s">
        <v>249</v>
      </c>
      <c r="D43" s="6" t="s">
        <v>155</v>
      </c>
      <c r="E43" s="6" t="s">
        <v>250</v>
      </c>
      <c r="F43" s="42" t="n">
        <v>2</v>
      </c>
      <c r="G43" s="44" t="n">
        <v>2</v>
      </c>
      <c r="H43" s="44" t="n">
        <v>2</v>
      </c>
      <c r="I43" s="44" t="n">
        <v>0</v>
      </c>
      <c r="J43" s="44" t="n">
        <f aca="false">H43-G43+I43</f>
        <v>0</v>
      </c>
      <c r="K43" s="44" t="n">
        <v>3</v>
      </c>
      <c r="L43" s="44" t="n">
        <v>38</v>
      </c>
      <c r="M43" s="45" t="n">
        <f aca="false">IF(OR($K43=0,$H43&lt;=0),"",ROUND($H43/($K43/7),0))</f>
        <v>5</v>
      </c>
      <c r="N43" s="45" t="n">
        <v>12</v>
      </c>
      <c r="O43" s="6" t="s">
        <v>157</v>
      </c>
    </row>
    <row r="44" customFormat="false" ht="18" hidden="false" customHeight="true" outlineLevel="0" collapsed="false">
      <c r="A44" s="76" t="n">
        <v>46229</v>
      </c>
      <c r="B44" s="37" t="s">
        <v>136</v>
      </c>
      <c r="C44" s="72" t="s">
        <v>237</v>
      </c>
      <c r="D44" s="8" t="s">
        <v>153</v>
      </c>
      <c r="E44" s="8" t="s">
        <v>134</v>
      </c>
      <c r="F44" s="47" t="n">
        <v>1</v>
      </c>
      <c r="G44" s="49" t="n">
        <v>70</v>
      </c>
      <c r="H44" s="49" t="n">
        <v>68</v>
      </c>
      <c r="I44" s="49" t="n">
        <v>2</v>
      </c>
      <c r="J44" s="49" t="n">
        <f aca="false">H44-G44+I44</f>
        <v>0</v>
      </c>
      <c r="K44" s="49" t="n">
        <v>14</v>
      </c>
      <c r="L44" s="49" t="n">
        <v>168</v>
      </c>
      <c r="M44" s="50" t="n">
        <f aca="false">IF(OR($K44=0,$H44&lt;=0),"",ROUND($H44/($K44/7),0))</f>
        <v>34</v>
      </c>
      <c r="N44" s="50" t="n">
        <v>0</v>
      </c>
      <c r="O44" s="8" t="s">
        <v>154</v>
      </c>
    </row>
    <row r="45" customFormat="false" ht="18" hidden="false" customHeight="true" outlineLevel="0" collapsed="false">
      <c r="A45" s="77" t="n">
        <v>46229</v>
      </c>
      <c r="B45" s="36" t="s">
        <v>136</v>
      </c>
      <c r="C45" s="74" t="s">
        <v>238</v>
      </c>
      <c r="D45" s="6" t="s">
        <v>163</v>
      </c>
      <c r="E45" s="6" t="s">
        <v>159</v>
      </c>
      <c r="F45" s="42" t="n">
        <v>2</v>
      </c>
      <c r="G45" s="44" t="n">
        <v>136</v>
      </c>
      <c r="H45" s="44" t="n">
        <v>134</v>
      </c>
      <c r="I45" s="44" t="n">
        <v>2</v>
      </c>
      <c r="J45" s="44" t="n">
        <f aca="false">H45-G45+I45</f>
        <v>0</v>
      </c>
      <c r="K45" s="44" t="n">
        <v>14</v>
      </c>
      <c r="L45" s="44" t="n">
        <v>152</v>
      </c>
      <c r="M45" s="45" t="n">
        <f aca="false">IF(OR($K45=0,$H45&lt;=0),"",ROUND($H45/($K45/7),0))</f>
        <v>67</v>
      </c>
      <c r="N45" s="45" t="n">
        <v>0</v>
      </c>
      <c r="O45" s="36" t="s">
        <v>164</v>
      </c>
    </row>
    <row r="46" customFormat="false" ht="18" hidden="false" customHeight="true" outlineLevel="0" collapsed="false">
      <c r="A46" s="76" t="n">
        <v>46229</v>
      </c>
      <c r="B46" s="37" t="s">
        <v>136</v>
      </c>
      <c r="C46" s="72" t="s">
        <v>239</v>
      </c>
      <c r="D46" s="8" t="s">
        <v>200</v>
      </c>
      <c r="E46" s="8" t="s">
        <v>194</v>
      </c>
      <c r="F46" s="47" t="n">
        <v>3</v>
      </c>
      <c r="G46" s="49" t="n">
        <v>272</v>
      </c>
      <c r="H46" s="49" t="n">
        <v>271</v>
      </c>
      <c r="I46" s="49" t="n">
        <v>1</v>
      </c>
      <c r="J46" s="49" t="n">
        <f aca="false">H46-G46+I46</f>
        <v>0</v>
      </c>
      <c r="K46" s="49" t="n">
        <v>9</v>
      </c>
      <c r="L46" s="49" t="n">
        <v>96</v>
      </c>
      <c r="M46" s="50" t="n">
        <f aca="false">IF(OR($K46=0,$H46&lt;=0),"",ROUND($H46/($K46/7),0))</f>
        <v>211</v>
      </c>
      <c r="N46" s="50" t="n">
        <v>0</v>
      </c>
      <c r="O46" s="8" t="s">
        <v>240</v>
      </c>
    </row>
    <row r="47" customFormat="false" ht="18" hidden="false" customHeight="true" outlineLevel="0" collapsed="false">
      <c r="A47" s="77" t="n">
        <v>46229</v>
      </c>
      <c r="B47" s="36" t="s">
        <v>136</v>
      </c>
      <c r="C47" s="74" t="s">
        <v>241</v>
      </c>
      <c r="D47" s="6" t="s">
        <v>202</v>
      </c>
      <c r="E47" s="6" t="s">
        <v>186</v>
      </c>
      <c r="F47" s="42" t="n">
        <v>3</v>
      </c>
      <c r="G47" s="44" t="n">
        <v>203</v>
      </c>
      <c r="H47" s="44" t="n">
        <v>201</v>
      </c>
      <c r="I47" s="44" t="n">
        <v>2</v>
      </c>
      <c r="J47" s="44" t="n">
        <f aca="false">H47-G47+I47</f>
        <v>0</v>
      </c>
      <c r="K47" s="44" t="n">
        <v>14</v>
      </c>
      <c r="L47" s="44" t="n">
        <v>158</v>
      </c>
      <c r="M47" s="45" t="n">
        <f aca="false">IF(OR($K47=0,$H47&lt;=0),"",ROUND($H47/($K47/7),0))</f>
        <v>101</v>
      </c>
      <c r="N47" s="45" t="n">
        <v>0</v>
      </c>
      <c r="O47" s="6"/>
    </row>
    <row r="48" customFormat="false" ht="18" hidden="false" customHeight="true" outlineLevel="0" collapsed="false">
      <c r="A48" s="76" t="n">
        <v>46229</v>
      </c>
      <c r="B48" s="37" t="s">
        <v>136</v>
      </c>
      <c r="C48" s="72" t="s">
        <v>242</v>
      </c>
      <c r="D48" s="8" t="s">
        <v>173</v>
      </c>
      <c r="E48" s="8" t="s">
        <v>174</v>
      </c>
      <c r="F48" s="47" t="n">
        <v>3</v>
      </c>
      <c r="G48" s="49" t="n">
        <v>9</v>
      </c>
      <c r="H48" s="49" t="n">
        <v>9</v>
      </c>
      <c r="I48" s="49" t="n">
        <v>0</v>
      </c>
      <c r="J48" s="49" t="n">
        <f aca="false">H48-G48+I48</f>
        <v>0</v>
      </c>
      <c r="K48" s="49" t="n">
        <v>0</v>
      </c>
      <c r="L48" s="49" t="n">
        <v>12</v>
      </c>
      <c r="M48" s="50" t="str">
        <f aca="false">IF(OR($K48=0,$H48&lt;=0),"",ROUND($H48/($K48/7),0))</f>
        <v/>
      </c>
      <c r="N48" s="50" t="n">
        <v>0</v>
      </c>
      <c r="O48" s="37" t="s">
        <v>243</v>
      </c>
    </row>
    <row r="49" customFormat="false" ht="18" hidden="false" customHeight="true" outlineLevel="0" collapsed="false">
      <c r="A49" s="77" t="n">
        <v>46229</v>
      </c>
      <c r="B49" s="36" t="s">
        <v>144</v>
      </c>
      <c r="C49" s="74" t="s">
        <v>244</v>
      </c>
      <c r="D49" s="6" t="s">
        <v>245</v>
      </c>
      <c r="E49" s="6" t="s">
        <v>186</v>
      </c>
      <c r="F49" s="42" t="n">
        <v>3</v>
      </c>
      <c r="G49" s="44" t="n">
        <v>127</v>
      </c>
      <c r="H49" s="44" t="n">
        <v>126</v>
      </c>
      <c r="I49" s="44" t="n">
        <v>1</v>
      </c>
      <c r="J49" s="44" t="n">
        <f aca="false">H49-G49+I49</f>
        <v>0</v>
      </c>
      <c r="K49" s="44" t="n">
        <v>6</v>
      </c>
      <c r="L49" s="44" t="n">
        <v>71</v>
      </c>
      <c r="M49" s="45" t="n">
        <f aca="false">IF(OR($K49=0,$H49&lt;=0),"",ROUND($H49/($K49/7),0))</f>
        <v>147</v>
      </c>
      <c r="N49" s="45" t="n">
        <v>0</v>
      </c>
      <c r="O49" s="6"/>
    </row>
    <row r="50" customFormat="false" ht="18" hidden="false" customHeight="true" outlineLevel="0" collapsed="false">
      <c r="A50" s="76" t="n">
        <v>46229</v>
      </c>
      <c r="B50" s="37" t="s">
        <v>144</v>
      </c>
      <c r="C50" s="72" t="s">
        <v>246</v>
      </c>
      <c r="D50" s="8" t="s">
        <v>145</v>
      </c>
      <c r="E50" s="8" t="s">
        <v>134</v>
      </c>
      <c r="F50" s="47" t="n">
        <v>1</v>
      </c>
      <c r="G50" s="49" t="n">
        <v>35</v>
      </c>
      <c r="H50" s="49" t="n">
        <v>34</v>
      </c>
      <c r="I50" s="49" t="n">
        <v>1</v>
      </c>
      <c r="J50" s="49" t="n">
        <f aca="false">H50-G50+I50</f>
        <v>0</v>
      </c>
      <c r="K50" s="49" t="n">
        <v>7</v>
      </c>
      <c r="L50" s="49" t="n">
        <v>84</v>
      </c>
      <c r="M50" s="50" t="n">
        <f aca="false">IF(OR($K50=0,$H50&lt;=0),"",ROUND($H50/($K50/7),0))</f>
        <v>34</v>
      </c>
      <c r="N50" s="50" t="n">
        <v>0</v>
      </c>
      <c r="O50" s="8" t="s">
        <v>146</v>
      </c>
    </row>
    <row r="51" customFormat="false" ht="18" hidden="false" customHeight="true" outlineLevel="0" collapsed="false">
      <c r="A51" s="77" t="n">
        <v>46229</v>
      </c>
      <c r="B51" s="36" t="s">
        <v>144</v>
      </c>
      <c r="C51" s="74" t="s">
        <v>247</v>
      </c>
      <c r="D51" s="6" t="s">
        <v>203</v>
      </c>
      <c r="E51" s="6" t="s">
        <v>186</v>
      </c>
      <c r="F51" s="42" t="n">
        <v>3</v>
      </c>
      <c r="G51" s="44" t="n">
        <v>71</v>
      </c>
      <c r="H51" s="44" t="n">
        <v>70</v>
      </c>
      <c r="I51" s="44" t="n">
        <v>1</v>
      </c>
      <c r="J51" s="44" t="n">
        <f aca="false">H51-G51+I51</f>
        <v>0</v>
      </c>
      <c r="K51" s="44" t="n">
        <v>4</v>
      </c>
      <c r="L51" s="44" t="n">
        <v>44</v>
      </c>
      <c r="M51" s="45" t="n">
        <f aca="false">IF(OR($K51=0,$H51&lt;=0),"",ROUND($H51/($K51/7),0))</f>
        <v>123</v>
      </c>
      <c r="N51" s="45" t="n">
        <v>0</v>
      </c>
      <c r="O51" s="6"/>
    </row>
    <row r="52" customFormat="false" ht="18" hidden="false" customHeight="true" outlineLevel="0" collapsed="false">
      <c r="A52" s="76" t="n">
        <v>46229</v>
      </c>
      <c r="B52" s="37" t="s">
        <v>136</v>
      </c>
      <c r="C52" s="72" t="s">
        <v>248</v>
      </c>
      <c r="D52" s="8" t="s">
        <v>137</v>
      </c>
      <c r="E52" s="8" t="s">
        <v>134</v>
      </c>
      <c r="F52" s="47" t="n">
        <v>1</v>
      </c>
      <c r="G52" s="49" t="n">
        <v>21</v>
      </c>
      <c r="H52" s="49" t="n">
        <v>20</v>
      </c>
      <c r="I52" s="49" t="n">
        <v>1</v>
      </c>
      <c r="J52" s="49" t="n">
        <f aca="false">H52-G52+I52</f>
        <v>0</v>
      </c>
      <c r="K52" s="49" t="n">
        <v>5</v>
      </c>
      <c r="L52" s="49" t="n">
        <v>62</v>
      </c>
      <c r="M52" s="50" t="n">
        <f aca="false">IF(OR($K52=0,$H52&lt;=0),"",ROUND($H52/($K52/7),0))</f>
        <v>28</v>
      </c>
      <c r="N52" s="50" t="n">
        <v>0</v>
      </c>
      <c r="O52" s="8" t="s">
        <v>139</v>
      </c>
    </row>
    <row r="53" customFormat="false" ht="18" hidden="false" customHeight="true" outlineLevel="0" collapsed="false">
      <c r="A53" s="77" t="n">
        <v>46229</v>
      </c>
      <c r="B53" s="36" t="s">
        <v>136</v>
      </c>
      <c r="C53" s="74" t="s">
        <v>249</v>
      </c>
      <c r="D53" s="6" t="s">
        <v>155</v>
      </c>
      <c r="E53" s="6" t="s">
        <v>250</v>
      </c>
      <c r="F53" s="42" t="n">
        <v>2</v>
      </c>
      <c r="G53" s="44" t="n">
        <v>6</v>
      </c>
      <c r="H53" s="44" t="n">
        <v>6</v>
      </c>
      <c r="I53" s="44" t="n">
        <v>0</v>
      </c>
      <c r="J53" s="44" t="n">
        <f aca="false">H53-G53+I53</f>
        <v>0</v>
      </c>
      <c r="K53" s="44" t="n">
        <v>3</v>
      </c>
      <c r="L53" s="44" t="n">
        <v>38</v>
      </c>
      <c r="M53" s="45" t="n">
        <f aca="false">IF(OR($K53=0,$H53&lt;=0),"",ROUND($H53/($K53/7),0))</f>
        <v>14</v>
      </c>
      <c r="N53" s="45" t="n">
        <v>12</v>
      </c>
      <c r="O53" s="6" t="s">
        <v>157</v>
      </c>
    </row>
    <row r="54" customFormat="false" ht="18" hidden="false" customHeight="true" outlineLevel="0" collapsed="false">
      <c r="A54" s="76" t="n">
        <v>46230</v>
      </c>
      <c r="B54" s="37" t="s">
        <v>136</v>
      </c>
      <c r="C54" s="72" t="s">
        <v>237</v>
      </c>
      <c r="D54" s="8" t="s">
        <v>153</v>
      </c>
      <c r="E54" s="8" t="s">
        <v>134</v>
      </c>
      <c r="F54" s="47" t="n">
        <v>1</v>
      </c>
      <c r="G54" s="49" t="n">
        <v>67</v>
      </c>
      <c r="H54" s="49" t="n">
        <v>65</v>
      </c>
      <c r="I54" s="49" t="n">
        <v>2</v>
      </c>
      <c r="J54" s="49" t="n">
        <f aca="false">H54-G54+I54</f>
        <v>0</v>
      </c>
      <c r="K54" s="49" t="n">
        <v>14</v>
      </c>
      <c r="L54" s="49" t="n">
        <v>168</v>
      </c>
      <c r="M54" s="50" t="n">
        <f aca="false">IF(OR($K54=0,$H54&lt;=0),"",ROUND($H54/($K54/7),0))</f>
        <v>33</v>
      </c>
      <c r="N54" s="50" t="n">
        <v>0</v>
      </c>
      <c r="O54" s="8" t="s">
        <v>154</v>
      </c>
    </row>
    <row r="55" customFormat="false" ht="18" hidden="false" customHeight="true" outlineLevel="0" collapsed="false">
      <c r="A55" s="77" t="n">
        <v>46230</v>
      </c>
      <c r="B55" s="36" t="s">
        <v>136</v>
      </c>
      <c r="C55" s="74" t="s">
        <v>238</v>
      </c>
      <c r="D55" s="6" t="s">
        <v>163</v>
      </c>
      <c r="E55" s="6" t="s">
        <v>159</v>
      </c>
      <c r="F55" s="42" t="n">
        <v>2</v>
      </c>
      <c r="G55" s="44" t="n">
        <v>133</v>
      </c>
      <c r="H55" s="44" t="n">
        <v>131</v>
      </c>
      <c r="I55" s="44" t="n">
        <v>2</v>
      </c>
      <c r="J55" s="44" t="n">
        <f aca="false">H55-G55+I55</f>
        <v>0</v>
      </c>
      <c r="K55" s="44" t="n">
        <v>14</v>
      </c>
      <c r="L55" s="44" t="n">
        <v>152</v>
      </c>
      <c r="M55" s="45" t="n">
        <f aca="false">IF(OR($K55=0,$H55&lt;=0),"",ROUND($H55/($K55/7),0))</f>
        <v>66</v>
      </c>
      <c r="N55" s="45" t="n">
        <v>0</v>
      </c>
      <c r="O55" s="36" t="s">
        <v>164</v>
      </c>
    </row>
    <row r="56" customFormat="false" ht="18" hidden="false" customHeight="true" outlineLevel="0" collapsed="false">
      <c r="A56" s="76" t="n">
        <v>46230</v>
      </c>
      <c r="B56" s="37" t="s">
        <v>136</v>
      </c>
      <c r="C56" s="72" t="s">
        <v>239</v>
      </c>
      <c r="D56" s="8" t="s">
        <v>200</v>
      </c>
      <c r="E56" s="8" t="s">
        <v>194</v>
      </c>
      <c r="F56" s="47" t="n">
        <v>3</v>
      </c>
      <c r="G56" s="49" t="n">
        <v>269</v>
      </c>
      <c r="H56" s="49" t="n">
        <v>268</v>
      </c>
      <c r="I56" s="49" t="n">
        <v>1</v>
      </c>
      <c r="J56" s="49" t="n">
        <f aca="false">H56-G56+I56</f>
        <v>0</v>
      </c>
      <c r="K56" s="49" t="n">
        <v>9</v>
      </c>
      <c r="L56" s="49" t="n">
        <v>96</v>
      </c>
      <c r="M56" s="50" t="n">
        <f aca="false">IF(OR($K56=0,$H56&lt;=0),"",ROUND($H56/($K56/7),0))</f>
        <v>208</v>
      </c>
      <c r="N56" s="50" t="n">
        <v>0</v>
      </c>
      <c r="O56" s="8" t="s">
        <v>240</v>
      </c>
    </row>
    <row r="57" customFormat="false" ht="18" hidden="false" customHeight="true" outlineLevel="0" collapsed="false">
      <c r="A57" s="77" t="n">
        <v>46230</v>
      </c>
      <c r="B57" s="36" t="s">
        <v>136</v>
      </c>
      <c r="C57" s="74" t="s">
        <v>241</v>
      </c>
      <c r="D57" s="6" t="s">
        <v>202</v>
      </c>
      <c r="E57" s="6" t="s">
        <v>186</v>
      </c>
      <c r="F57" s="42" t="n">
        <v>3</v>
      </c>
      <c r="G57" s="44" t="n">
        <v>200</v>
      </c>
      <c r="H57" s="44" t="n">
        <v>198</v>
      </c>
      <c r="I57" s="44" t="n">
        <v>2</v>
      </c>
      <c r="J57" s="44" t="n">
        <f aca="false">H57-G57+I57</f>
        <v>0</v>
      </c>
      <c r="K57" s="44" t="n">
        <v>14</v>
      </c>
      <c r="L57" s="44" t="n">
        <v>158</v>
      </c>
      <c r="M57" s="45" t="n">
        <f aca="false">IF(OR($K57=0,$H57&lt;=0),"",ROUND($H57/($K57/7),0))</f>
        <v>99</v>
      </c>
      <c r="N57" s="45" t="n">
        <v>0</v>
      </c>
      <c r="O57" s="6"/>
    </row>
    <row r="58" customFormat="false" ht="18" hidden="false" customHeight="true" outlineLevel="0" collapsed="false">
      <c r="A58" s="76" t="n">
        <v>46230</v>
      </c>
      <c r="B58" s="37" t="s">
        <v>136</v>
      </c>
      <c r="C58" s="72" t="s">
        <v>242</v>
      </c>
      <c r="D58" s="8" t="s">
        <v>173</v>
      </c>
      <c r="E58" s="8" t="s">
        <v>174</v>
      </c>
      <c r="F58" s="47" t="n">
        <v>3</v>
      </c>
      <c r="G58" s="49" t="n">
        <v>6</v>
      </c>
      <c r="H58" s="49" t="n">
        <v>6</v>
      </c>
      <c r="I58" s="49" t="n">
        <v>0</v>
      </c>
      <c r="J58" s="49" t="n">
        <f aca="false">H58-G58+I58</f>
        <v>0</v>
      </c>
      <c r="K58" s="49" t="n">
        <v>0</v>
      </c>
      <c r="L58" s="49" t="n">
        <v>12</v>
      </c>
      <c r="M58" s="50" t="str">
        <f aca="false">IF(OR($K58=0,$H58&lt;=0),"",ROUND($H58/($K58/7),0))</f>
        <v/>
      </c>
      <c r="N58" s="50" t="n">
        <v>0</v>
      </c>
      <c r="O58" s="37" t="s">
        <v>243</v>
      </c>
    </row>
    <row r="59" customFormat="false" ht="18" hidden="false" customHeight="true" outlineLevel="0" collapsed="false">
      <c r="A59" s="77" t="n">
        <v>46230</v>
      </c>
      <c r="B59" s="36" t="s">
        <v>144</v>
      </c>
      <c r="C59" s="74" t="s">
        <v>244</v>
      </c>
      <c r="D59" s="6" t="s">
        <v>245</v>
      </c>
      <c r="E59" s="6" t="s">
        <v>186</v>
      </c>
      <c r="F59" s="42" t="n">
        <v>3</v>
      </c>
      <c r="G59" s="44" t="n">
        <v>124</v>
      </c>
      <c r="H59" s="44" t="n">
        <v>123</v>
      </c>
      <c r="I59" s="44" t="n">
        <v>1</v>
      </c>
      <c r="J59" s="44" t="n">
        <f aca="false">H59-G59+I59</f>
        <v>0</v>
      </c>
      <c r="K59" s="44" t="n">
        <v>6</v>
      </c>
      <c r="L59" s="44" t="n">
        <v>71</v>
      </c>
      <c r="M59" s="45" t="n">
        <f aca="false">IF(OR($K59=0,$H59&lt;=0),"",ROUND($H59/($K59/7),0))</f>
        <v>144</v>
      </c>
      <c r="N59" s="45" t="n">
        <v>0</v>
      </c>
      <c r="O59" s="6"/>
    </row>
    <row r="60" customFormat="false" ht="18" hidden="false" customHeight="true" outlineLevel="0" collapsed="false">
      <c r="A60" s="76" t="n">
        <v>46230</v>
      </c>
      <c r="B60" s="37" t="s">
        <v>144</v>
      </c>
      <c r="C60" s="72" t="s">
        <v>246</v>
      </c>
      <c r="D60" s="8" t="s">
        <v>145</v>
      </c>
      <c r="E60" s="8" t="s">
        <v>134</v>
      </c>
      <c r="F60" s="47" t="n">
        <v>1</v>
      </c>
      <c r="G60" s="49" t="n">
        <v>32</v>
      </c>
      <c r="H60" s="49" t="n">
        <v>31</v>
      </c>
      <c r="I60" s="49" t="n">
        <v>1</v>
      </c>
      <c r="J60" s="49" t="n">
        <f aca="false">H60-G60+I60</f>
        <v>0</v>
      </c>
      <c r="K60" s="49" t="n">
        <v>7</v>
      </c>
      <c r="L60" s="49" t="n">
        <v>84</v>
      </c>
      <c r="M60" s="50" t="n">
        <f aca="false">IF(OR($K60=0,$H60&lt;=0),"",ROUND($H60/($K60/7),0))</f>
        <v>31</v>
      </c>
      <c r="N60" s="50" t="n">
        <v>0</v>
      </c>
      <c r="O60" s="8" t="s">
        <v>146</v>
      </c>
    </row>
    <row r="61" customFormat="false" ht="18" hidden="false" customHeight="true" outlineLevel="0" collapsed="false">
      <c r="A61" s="77" t="n">
        <v>46230</v>
      </c>
      <c r="B61" s="36" t="s">
        <v>144</v>
      </c>
      <c r="C61" s="74" t="s">
        <v>247</v>
      </c>
      <c r="D61" s="6" t="s">
        <v>203</v>
      </c>
      <c r="E61" s="6" t="s">
        <v>186</v>
      </c>
      <c r="F61" s="42" t="n">
        <v>3</v>
      </c>
      <c r="G61" s="44" t="n">
        <v>68</v>
      </c>
      <c r="H61" s="44" t="n">
        <v>67</v>
      </c>
      <c r="I61" s="44" t="n">
        <v>1</v>
      </c>
      <c r="J61" s="44" t="n">
        <f aca="false">H61-G61+I61</f>
        <v>0</v>
      </c>
      <c r="K61" s="44" t="n">
        <v>4</v>
      </c>
      <c r="L61" s="44" t="n">
        <v>44</v>
      </c>
      <c r="M61" s="45" t="n">
        <f aca="false">IF(OR($K61=0,$H61&lt;=0),"",ROUND($H61/($K61/7),0))</f>
        <v>117</v>
      </c>
      <c r="N61" s="45" t="n">
        <v>0</v>
      </c>
      <c r="O61" s="6"/>
    </row>
    <row r="62" customFormat="false" ht="18" hidden="false" customHeight="true" outlineLevel="0" collapsed="false">
      <c r="A62" s="76" t="n">
        <v>46230</v>
      </c>
      <c r="B62" s="37" t="s">
        <v>136</v>
      </c>
      <c r="C62" s="72" t="s">
        <v>248</v>
      </c>
      <c r="D62" s="8" t="s">
        <v>137</v>
      </c>
      <c r="E62" s="8" t="s">
        <v>134</v>
      </c>
      <c r="F62" s="47" t="n">
        <v>1</v>
      </c>
      <c r="G62" s="49" t="n">
        <v>18</v>
      </c>
      <c r="H62" s="49" t="n">
        <v>17</v>
      </c>
      <c r="I62" s="49" t="n">
        <v>1</v>
      </c>
      <c r="J62" s="49" t="n">
        <f aca="false">H62-G62+I62</f>
        <v>0</v>
      </c>
      <c r="K62" s="49" t="n">
        <v>5</v>
      </c>
      <c r="L62" s="49" t="n">
        <v>62</v>
      </c>
      <c r="M62" s="50" t="n">
        <f aca="false">IF(OR($K62=0,$H62&lt;=0),"",ROUND($H62/($K62/7),0))</f>
        <v>24</v>
      </c>
      <c r="N62" s="50" t="n">
        <v>0</v>
      </c>
      <c r="O62" s="8" t="s">
        <v>139</v>
      </c>
    </row>
    <row r="63" customFormat="false" ht="18" hidden="false" customHeight="true" outlineLevel="0" collapsed="false">
      <c r="A63" s="77" t="n">
        <v>46230</v>
      </c>
      <c r="B63" s="36" t="s">
        <v>136</v>
      </c>
      <c r="C63" s="74" t="s">
        <v>249</v>
      </c>
      <c r="D63" s="6" t="s">
        <v>155</v>
      </c>
      <c r="E63" s="6" t="s">
        <v>250</v>
      </c>
      <c r="F63" s="42" t="n">
        <v>2</v>
      </c>
      <c r="G63" s="44" t="n">
        <v>3</v>
      </c>
      <c r="H63" s="44" t="n">
        <v>3</v>
      </c>
      <c r="I63" s="44" t="n">
        <v>0</v>
      </c>
      <c r="J63" s="44" t="n">
        <f aca="false">H63-G63+I63</f>
        <v>0</v>
      </c>
      <c r="K63" s="44" t="n">
        <v>3</v>
      </c>
      <c r="L63" s="44" t="n">
        <v>38</v>
      </c>
      <c r="M63" s="45" t="n">
        <f aca="false">IF(OR($K63=0,$H63&lt;=0),"",ROUND($H63/($K63/7),0))</f>
        <v>7</v>
      </c>
      <c r="N63" s="45" t="n">
        <v>12</v>
      </c>
      <c r="O63" s="6" t="s">
        <v>157</v>
      </c>
    </row>
    <row r="64" customFormat="false" ht="18" hidden="false" customHeight="true" outlineLevel="0" collapsed="false">
      <c r="A64" s="76" t="n">
        <v>46231</v>
      </c>
      <c r="B64" s="37" t="s">
        <v>136</v>
      </c>
      <c r="C64" s="72" t="s">
        <v>237</v>
      </c>
      <c r="D64" s="8" t="s">
        <v>153</v>
      </c>
      <c r="E64" s="8" t="s">
        <v>134</v>
      </c>
      <c r="F64" s="47" t="n">
        <v>1</v>
      </c>
      <c r="G64" s="49" t="n">
        <v>64</v>
      </c>
      <c r="H64" s="49" t="n">
        <v>62</v>
      </c>
      <c r="I64" s="49" t="n">
        <v>2</v>
      </c>
      <c r="J64" s="49" t="n">
        <f aca="false">H64-G64+I64</f>
        <v>0</v>
      </c>
      <c r="K64" s="49" t="n">
        <v>14</v>
      </c>
      <c r="L64" s="49" t="n">
        <v>168</v>
      </c>
      <c r="M64" s="50" t="n">
        <f aca="false">IF(OR($K64=0,$H64&lt;=0),"",ROUND($H64/($K64/7),0))</f>
        <v>31</v>
      </c>
      <c r="N64" s="50" t="n">
        <v>0</v>
      </c>
      <c r="O64" s="8" t="s">
        <v>154</v>
      </c>
    </row>
    <row r="65" customFormat="false" ht="18" hidden="false" customHeight="true" outlineLevel="0" collapsed="false">
      <c r="A65" s="77" t="n">
        <v>46231</v>
      </c>
      <c r="B65" s="36" t="s">
        <v>136</v>
      </c>
      <c r="C65" s="74" t="s">
        <v>238</v>
      </c>
      <c r="D65" s="6" t="s">
        <v>163</v>
      </c>
      <c r="E65" s="6" t="s">
        <v>159</v>
      </c>
      <c r="F65" s="42" t="n">
        <v>2</v>
      </c>
      <c r="G65" s="44" t="n">
        <v>130</v>
      </c>
      <c r="H65" s="44" t="n">
        <v>128</v>
      </c>
      <c r="I65" s="44" t="n">
        <v>2</v>
      </c>
      <c r="J65" s="44" t="n">
        <f aca="false">H65-G65+I65</f>
        <v>0</v>
      </c>
      <c r="K65" s="44" t="n">
        <v>14</v>
      </c>
      <c r="L65" s="44" t="n">
        <v>152</v>
      </c>
      <c r="M65" s="45" t="n">
        <f aca="false">IF(OR($K65=0,$H65&lt;=0),"",ROUND($H65/($K65/7),0))</f>
        <v>64</v>
      </c>
      <c r="N65" s="45" t="n">
        <v>0</v>
      </c>
      <c r="O65" s="36" t="s">
        <v>164</v>
      </c>
    </row>
    <row r="66" customFormat="false" ht="18" hidden="false" customHeight="true" outlineLevel="0" collapsed="false">
      <c r="A66" s="76" t="n">
        <v>46231</v>
      </c>
      <c r="B66" s="37" t="s">
        <v>136</v>
      </c>
      <c r="C66" s="72" t="s">
        <v>239</v>
      </c>
      <c r="D66" s="8" t="s">
        <v>200</v>
      </c>
      <c r="E66" s="8" t="s">
        <v>194</v>
      </c>
      <c r="F66" s="47" t="n">
        <v>3</v>
      </c>
      <c r="G66" s="49" t="n">
        <v>266</v>
      </c>
      <c r="H66" s="49" t="n">
        <v>265</v>
      </c>
      <c r="I66" s="49" t="n">
        <v>1</v>
      </c>
      <c r="J66" s="49" t="n">
        <f aca="false">H66-G66+I66</f>
        <v>0</v>
      </c>
      <c r="K66" s="49" t="n">
        <v>9</v>
      </c>
      <c r="L66" s="49" t="n">
        <v>96</v>
      </c>
      <c r="M66" s="50" t="n">
        <f aca="false">IF(OR($K66=0,$H66&lt;=0),"",ROUND($H66/($K66/7),0))</f>
        <v>206</v>
      </c>
      <c r="N66" s="50" t="n">
        <v>0</v>
      </c>
      <c r="O66" s="8" t="s">
        <v>240</v>
      </c>
    </row>
    <row r="67" customFormat="false" ht="18" hidden="false" customHeight="true" outlineLevel="0" collapsed="false">
      <c r="A67" s="77" t="n">
        <v>46231</v>
      </c>
      <c r="B67" s="36" t="s">
        <v>136</v>
      </c>
      <c r="C67" s="74" t="s">
        <v>241</v>
      </c>
      <c r="D67" s="6" t="s">
        <v>202</v>
      </c>
      <c r="E67" s="6" t="s">
        <v>186</v>
      </c>
      <c r="F67" s="42" t="n">
        <v>3</v>
      </c>
      <c r="G67" s="44" t="n">
        <v>197</v>
      </c>
      <c r="H67" s="44" t="n">
        <v>195</v>
      </c>
      <c r="I67" s="44" t="n">
        <v>2</v>
      </c>
      <c r="J67" s="44" t="n">
        <f aca="false">H67-G67+I67</f>
        <v>0</v>
      </c>
      <c r="K67" s="44" t="n">
        <v>14</v>
      </c>
      <c r="L67" s="44" t="n">
        <v>158</v>
      </c>
      <c r="M67" s="45" t="n">
        <f aca="false">IF(OR($K67=0,$H67&lt;=0),"",ROUND($H67/($K67/7),0))</f>
        <v>98</v>
      </c>
      <c r="N67" s="45" t="n">
        <v>0</v>
      </c>
      <c r="O67" s="6"/>
    </row>
    <row r="68" customFormat="false" ht="18" hidden="false" customHeight="true" outlineLevel="0" collapsed="false">
      <c r="A68" s="76" t="n">
        <v>46231</v>
      </c>
      <c r="B68" s="37" t="s">
        <v>136</v>
      </c>
      <c r="C68" s="72" t="s">
        <v>242</v>
      </c>
      <c r="D68" s="8" t="s">
        <v>173</v>
      </c>
      <c r="E68" s="8" t="s">
        <v>174</v>
      </c>
      <c r="F68" s="47" t="n">
        <v>3</v>
      </c>
      <c r="G68" s="49" t="n">
        <v>3</v>
      </c>
      <c r="H68" s="49" t="n">
        <v>3</v>
      </c>
      <c r="I68" s="49" t="n">
        <v>0</v>
      </c>
      <c r="J68" s="49" t="n">
        <f aca="false">H68-G68+I68</f>
        <v>0</v>
      </c>
      <c r="K68" s="49" t="n">
        <v>0</v>
      </c>
      <c r="L68" s="49" t="n">
        <v>12</v>
      </c>
      <c r="M68" s="50" t="str">
        <f aca="false">IF(OR($K68=0,$H68&lt;=0),"",ROUND($H68/($K68/7),0))</f>
        <v/>
      </c>
      <c r="N68" s="50" t="n">
        <v>0</v>
      </c>
      <c r="O68" s="37" t="s">
        <v>243</v>
      </c>
    </row>
    <row r="69" customFormat="false" ht="18" hidden="false" customHeight="true" outlineLevel="0" collapsed="false">
      <c r="A69" s="77" t="n">
        <v>46231</v>
      </c>
      <c r="B69" s="36" t="s">
        <v>144</v>
      </c>
      <c r="C69" s="74" t="s">
        <v>244</v>
      </c>
      <c r="D69" s="6" t="s">
        <v>245</v>
      </c>
      <c r="E69" s="6" t="s">
        <v>186</v>
      </c>
      <c r="F69" s="42" t="n">
        <v>3</v>
      </c>
      <c r="G69" s="44" t="n">
        <v>121</v>
      </c>
      <c r="H69" s="44" t="n">
        <v>120</v>
      </c>
      <c r="I69" s="44" t="n">
        <v>1</v>
      </c>
      <c r="J69" s="44" t="n">
        <f aca="false">H69-G69+I69</f>
        <v>0</v>
      </c>
      <c r="K69" s="44" t="n">
        <v>6</v>
      </c>
      <c r="L69" s="44" t="n">
        <v>71</v>
      </c>
      <c r="M69" s="45" t="n">
        <f aca="false">IF(OR($K69=0,$H69&lt;=0),"",ROUND($H69/($K69/7),0))</f>
        <v>140</v>
      </c>
      <c r="N69" s="45" t="n">
        <v>0</v>
      </c>
      <c r="O69" s="6"/>
    </row>
    <row r="70" customFormat="false" ht="18" hidden="false" customHeight="true" outlineLevel="0" collapsed="false">
      <c r="A70" s="76" t="n">
        <v>46231</v>
      </c>
      <c r="B70" s="37" t="s">
        <v>144</v>
      </c>
      <c r="C70" s="72" t="s">
        <v>246</v>
      </c>
      <c r="D70" s="8" t="s">
        <v>145</v>
      </c>
      <c r="E70" s="8" t="s">
        <v>134</v>
      </c>
      <c r="F70" s="47" t="n">
        <v>1</v>
      </c>
      <c r="G70" s="49" t="n">
        <v>29</v>
      </c>
      <c r="H70" s="49" t="n">
        <v>28</v>
      </c>
      <c r="I70" s="49" t="n">
        <v>1</v>
      </c>
      <c r="J70" s="49" t="n">
        <f aca="false">H70-G70+I70</f>
        <v>0</v>
      </c>
      <c r="K70" s="49" t="n">
        <v>7</v>
      </c>
      <c r="L70" s="49" t="n">
        <v>84</v>
      </c>
      <c r="M70" s="50" t="n">
        <f aca="false">IF(OR($K70=0,$H70&lt;=0),"",ROUND($H70/($K70/7),0))</f>
        <v>28</v>
      </c>
      <c r="N70" s="50" t="n">
        <v>0</v>
      </c>
      <c r="O70" s="8" t="s">
        <v>146</v>
      </c>
    </row>
    <row r="71" customFormat="false" ht="18" hidden="false" customHeight="true" outlineLevel="0" collapsed="false">
      <c r="A71" s="77" t="n">
        <v>46231</v>
      </c>
      <c r="B71" s="36" t="s">
        <v>144</v>
      </c>
      <c r="C71" s="74" t="s">
        <v>247</v>
      </c>
      <c r="D71" s="6" t="s">
        <v>203</v>
      </c>
      <c r="E71" s="6" t="s">
        <v>186</v>
      </c>
      <c r="F71" s="42" t="n">
        <v>3</v>
      </c>
      <c r="G71" s="44" t="n">
        <v>65</v>
      </c>
      <c r="H71" s="44" t="n">
        <v>64</v>
      </c>
      <c r="I71" s="44" t="n">
        <v>1</v>
      </c>
      <c r="J71" s="44" t="n">
        <f aca="false">H71-G71+I71</f>
        <v>0</v>
      </c>
      <c r="K71" s="44" t="n">
        <v>4</v>
      </c>
      <c r="L71" s="44" t="n">
        <v>44</v>
      </c>
      <c r="M71" s="45" t="n">
        <f aca="false">IF(OR($K71=0,$H71&lt;=0),"",ROUND($H71/($K71/7),0))</f>
        <v>112</v>
      </c>
      <c r="N71" s="45" t="n">
        <v>0</v>
      </c>
      <c r="O71" s="6"/>
    </row>
    <row r="72" customFormat="false" ht="18" hidden="false" customHeight="true" outlineLevel="0" collapsed="false">
      <c r="A72" s="76" t="n">
        <v>46231</v>
      </c>
      <c r="B72" s="37" t="s">
        <v>136</v>
      </c>
      <c r="C72" s="72" t="s">
        <v>248</v>
      </c>
      <c r="D72" s="8" t="s">
        <v>137</v>
      </c>
      <c r="E72" s="8" t="s">
        <v>134</v>
      </c>
      <c r="F72" s="47" t="n">
        <v>1</v>
      </c>
      <c r="G72" s="49" t="n">
        <v>15</v>
      </c>
      <c r="H72" s="49" t="n">
        <v>14</v>
      </c>
      <c r="I72" s="49" t="n">
        <v>1</v>
      </c>
      <c r="J72" s="49" t="n">
        <f aca="false">H72-G72+I72</f>
        <v>0</v>
      </c>
      <c r="K72" s="49" t="n">
        <v>5</v>
      </c>
      <c r="L72" s="49" t="n">
        <v>62</v>
      </c>
      <c r="M72" s="50" t="n">
        <f aca="false">IF(OR($K72=0,$H72&lt;=0),"",ROUND($H72/($K72/7),0))</f>
        <v>20</v>
      </c>
      <c r="N72" s="50" t="n">
        <v>0</v>
      </c>
      <c r="O72" s="8" t="s">
        <v>139</v>
      </c>
    </row>
    <row r="73" customFormat="false" ht="18" hidden="false" customHeight="true" outlineLevel="0" collapsed="false">
      <c r="A73" s="77" t="n">
        <v>46231</v>
      </c>
      <c r="B73" s="36" t="s">
        <v>136</v>
      </c>
      <c r="C73" s="74" t="s">
        <v>249</v>
      </c>
      <c r="D73" s="6" t="s">
        <v>155</v>
      </c>
      <c r="E73" s="6" t="s">
        <v>250</v>
      </c>
      <c r="F73" s="42" t="n">
        <v>2</v>
      </c>
      <c r="G73" s="44" t="n">
        <v>0</v>
      </c>
      <c r="H73" s="44" t="n">
        <v>0</v>
      </c>
      <c r="I73" s="44" t="n">
        <v>0</v>
      </c>
      <c r="J73" s="44" t="n">
        <f aca="false">H73-G73+I73</f>
        <v>0</v>
      </c>
      <c r="K73" s="44" t="n">
        <v>3</v>
      </c>
      <c r="L73" s="44" t="n">
        <v>38</v>
      </c>
      <c r="M73" s="45" t="str">
        <f aca="false">IF(OR($K73=0,$H73&lt;=0),"",ROUND($H73/($K73/7),0))</f>
        <v/>
      </c>
      <c r="N73" s="45" t="n">
        <v>12</v>
      </c>
      <c r="O73" s="6" t="s">
        <v>157</v>
      </c>
    </row>
  </sheetData>
  <mergeCells count="3">
    <mergeCell ref="A1:O1"/>
    <mergeCell ref="A2:G2"/>
    <mergeCell ref="H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CCC"/>
    <pageSetUpPr fitToPage="false"/>
  </sheetPr>
  <dimension ref="A1:G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1"/>
    <col collapsed="false" customWidth="true" hidden="false" outlineLevel="0" max="3" min="3" style="0" width="15"/>
    <col collapsed="false" customWidth="true" hidden="false" outlineLevel="0" max="5" min="4" style="0" width="12"/>
    <col collapsed="false" customWidth="true" hidden="false" outlineLevel="0" max="7" min="6" style="0" width="13"/>
  </cols>
  <sheetData>
    <row r="1" customFormat="false" ht="22.5" hidden="false" customHeight="true" outlineLevel="0" collapsed="false">
      <c r="A1" s="1" t="s">
        <v>334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59" t="s">
        <v>335</v>
      </c>
      <c r="B2" s="59"/>
      <c r="C2" s="59"/>
      <c r="D2" s="60" t="s">
        <v>290</v>
      </c>
      <c r="E2" s="60"/>
      <c r="F2" s="60"/>
      <c r="G2" s="60"/>
    </row>
    <row r="3" customFormat="false" ht="25.5" hidden="false" customHeight="true" outlineLevel="0" collapsed="false">
      <c r="A3" s="9" t="s">
        <v>227</v>
      </c>
      <c r="B3" s="9" t="s">
        <v>116</v>
      </c>
      <c r="C3" s="9" t="s">
        <v>115</v>
      </c>
      <c r="D3" s="9" t="s">
        <v>314</v>
      </c>
      <c r="E3" s="9" t="s">
        <v>93</v>
      </c>
      <c r="F3" s="9" t="s">
        <v>228</v>
      </c>
      <c r="G3" s="9" t="s">
        <v>336</v>
      </c>
    </row>
    <row r="4" customFormat="false" ht="18" hidden="false" customHeight="true" outlineLevel="0" collapsed="false">
      <c r="A4" s="72" t="s">
        <v>237</v>
      </c>
      <c r="B4" s="8" t="s">
        <v>153</v>
      </c>
      <c r="C4" s="37" t="s">
        <v>136</v>
      </c>
      <c r="D4" s="72" t="s">
        <v>318</v>
      </c>
      <c r="E4" s="48" t="s">
        <v>138</v>
      </c>
      <c r="F4" s="50" t="n">
        <v>30</v>
      </c>
      <c r="G4" s="76" t="n">
        <v>46231</v>
      </c>
    </row>
    <row r="5" customFormat="false" ht="18" hidden="false" customHeight="true" outlineLevel="0" collapsed="false">
      <c r="A5" s="74" t="s">
        <v>238</v>
      </c>
      <c r="B5" s="6" t="s">
        <v>163</v>
      </c>
      <c r="C5" s="36" t="s">
        <v>136</v>
      </c>
      <c r="D5" s="74" t="s">
        <v>318</v>
      </c>
      <c r="E5" s="43" t="s">
        <v>138</v>
      </c>
      <c r="F5" s="45" t="n">
        <v>30</v>
      </c>
      <c r="G5" s="77" t="n">
        <v>46228</v>
      </c>
    </row>
    <row r="6" customFormat="false" ht="18" hidden="false" customHeight="true" outlineLevel="0" collapsed="false">
      <c r="A6" s="72" t="s">
        <v>239</v>
      </c>
      <c r="B6" s="8" t="s">
        <v>200</v>
      </c>
      <c r="C6" s="37" t="s">
        <v>136</v>
      </c>
      <c r="D6" s="72" t="s">
        <v>318</v>
      </c>
      <c r="E6" s="48" t="s">
        <v>138</v>
      </c>
      <c r="F6" s="50" t="n">
        <v>30</v>
      </c>
      <c r="G6" s="76" t="n">
        <v>46225</v>
      </c>
    </row>
    <row r="7" customFormat="false" ht="18" hidden="false" customHeight="true" outlineLevel="0" collapsed="false">
      <c r="A7" s="74" t="s">
        <v>241</v>
      </c>
      <c r="B7" s="6" t="s">
        <v>202</v>
      </c>
      <c r="C7" s="36" t="s">
        <v>136</v>
      </c>
      <c r="D7" s="74" t="s">
        <v>318</v>
      </c>
      <c r="E7" s="43" t="s">
        <v>138</v>
      </c>
      <c r="F7" s="45" t="n">
        <v>30</v>
      </c>
      <c r="G7" s="77" t="n">
        <v>46222</v>
      </c>
    </row>
    <row r="8" customFormat="false" ht="18" hidden="false" customHeight="true" outlineLevel="0" collapsed="false">
      <c r="A8" s="72" t="s">
        <v>242</v>
      </c>
      <c r="B8" s="8" t="s">
        <v>173</v>
      </c>
      <c r="C8" s="37" t="s">
        <v>136</v>
      </c>
      <c r="D8" s="72" t="s">
        <v>318</v>
      </c>
      <c r="E8" s="48" t="s">
        <v>138</v>
      </c>
      <c r="F8" s="50" t="n">
        <v>45</v>
      </c>
      <c r="G8" s="76" t="n">
        <v>46219</v>
      </c>
    </row>
    <row r="9" customFormat="false" ht="18" hidden="false" customHeight="true" outlineLevel="0" collapsed="false">
      <c r="A9" s="74" t="s">
        <v>244</v>
      </c>
      <c r="B9" s="6" t="s">
        <v>245</v>
      </c>
      <c r="C9" s="36" t="s">
        <v>144</v>
      </c>
      <c r="D9" s="74" t="s">
        <v>144</v>
      </c>
      <c r="E9" s="43" t="s">
        <v>138</v>
      </c>
      <c r="F9" s="45" t="n">
        <v>25</v>
      </c>
      <c r="G9" s="77" t="n">
        <v>46216</v>
      </c>
    </row>
    <row r="10" customFormat="false" ht="18" hidden="false" customHeight="true" outlineLevel="0" collapsed="false">
      <c r="A10" s="72" t="s">
        <v>246</v>
      </c>
      <c r="B10" s="8" t="s">
        <v>145</v>
      </c>
      <c r="C10" s="37" t="s">
        <v>144</v>
      </c>
      <c r="D10" s="72" t="s">
        <v>144</v>
      </c>
      <c r="E10" s="48" t="s">
        <v>138</v>
      </c>
      <c r="F10" s="50" t="n">
        <v>25</v>
      </c>
      <c r="G10" s="76" t="n">
        <v>46213</v>
      </c>
    </row>
    <row r="11" customFormat="false" ht="18" hidden="false" customHeight="true" outlineLevel="0" collapsed="false">
      <c r="A11" s="74" t="s">
        <v>247</v>
      </c>
      <c r="B11" s="6" t="s">
        <v>203</v>
      </c>
      <c r="C11" s="36" t="s">
        <v>144</v>
      </c>
      <c r="D11" s="74" t="s">
        <v>144</v>
      </c>
      <c r="E11" s="43" t="s">
        <v>138</v>
      </c>
      <c r="F11" s="45" t="n">
        <v>35</v>
      </c>
      <c r="G11" s="77" t="n">
        <v>46210</v>
      </c>
    </row>
    <row r="12" customFormat="false" ht="18" hidden="false" customHeight="true" outlineLevel="0" collapsed="false">
      <c r="A12" s="72" t="s">
        <v>248</v>
      </c>
      <c r="B12" s="8" t="s">
        <v>137</v>
      </c>
      <c r="C12" s="37" t="s">
        <v>136</v>
      </c>
      <c r="D12" s="72" t="s">
        <v>318</v>
      </c>
      <c r="E12" s="48" t="s">
        <v>138</v>
      </c>
      <c r="F12" s="50" t="n">
        <v>40</v>
      </c>
      <c r="G12" s="76" t="n">
        <v>46207</v>
      </c>
    </row>
    <row r="13" customFormat="false" ht="18" hidden="false" customHeight="true" outlineLevel="0" collapsed="false">
      <c r="A13" s="74" t="s">
        <v>249</v>
      </c>
      <c r="B13" s="6" t="s">
        <v>155</v>
      </c>
      <c r="C13" s="36" t="s">
        <v>136</v>
      </c>
      <c r="D13" s="74" t="s">
        <v>318</v>
      </c>
      <c r="E13" s="43" t="s">
        <v>138</v>
      </c>
      <c r="F13" s="45" t="n">
        <v>40</v>
      </c>
      <c r="G13" s="77" t="n">
        <v>46204</v>
      </c>
    </row>
    <row r="14" customFormat="false" ht="18" hidden="false" customHeight="true" outlineLevel="0" collapsed="false">
      <c r="A14" s="72" t="s">
        <v>251</v>
      </c>
      <c r="B14" s="8" t="s">
        <v>176</v>
      </c>
      <c r="C14" s="37" t="s">
        <v>136</v>
      </c>
      <c r="D14" s="72" t="s">
        <v>318</v>
      </c>
      <c r="E14" s="48" t="s">
        <v>138</v>
      </c>
      <c r="F14" s="50" t="n">
        <v>40</v>
      </c>
      <c r="G14" s="76" t="n">
        <v>46201</v>
      </c>
    </row>
    <row r="15" customFormat="false" ht="18" hidden="false" customHeight="true" outlineLevel="0" collapsed="false">
      <c r="A15" s="74" t="s">
        <v>252</v>
      </c>
      <c r="B15" s="6" t="s">
        <v>151</v>
      </c>
      <c r="C15" s="36" t="s">
        <v>150</v>
      </c>
      <c r="D15" s="74" t="s">
        <v>320</v>
      </c>
      <c r="E15" s="43" t="s">
        <v>133</v>
      </c>
      <c r="F15" s="45" t="n">
        <v>45</v>
      </c>
      <c r="G15" s="77" t="n">
        <v>46198</v>
      </c>
    </row>
    <row r="16" customFormat="false" ht="18" hidden="false" customHeight="true" outlineLevel="0" collapsed="false">
      <c r="A16" s="72" t="s">
        <v>253</v>
      </c>
      <c r="B16" s="8" t="s">
        <v>161</v>
      </c>
      <c r="C16" s="37" t="s">
        <v>150</v>
      </c>
      <c r="D16" s="72" t="s">
        <v>320</v>
      </c>
      <c r="E16" s="48" t="s">
        <v>133</v>
      </c>
      <c r="F16" s="50" t="n">
        <v>45</v>
      </c>
      <c r="G16" s="76" t="n">
        <v>46195</v>
      </c>
    </row>
    <row r="17" customFormat="false" ht="18" hidden="false" customHeight="true" outlineLevel="0" collapsed="false">
      <c r="A17" s="74" t="s">
        <v>254</v>
      </c>
      <c r="B17" s="6" t="s">
        <v>255</v>
      </c>
      <c r="C17" s="36" t="s">
        <v>197</v>
      </c>
      <c r="D17" s="74" t="s">
        <v>321</v>
      </c>
      <c r="E17" s="43" t="s">
        <v>133</v>
      </c>
      <c r="F17" s="45" t="n">
        <v>40</v>
      </c>
      <c r="G17" s="77" t="n">
        <v>46192</v>
      </c>
    </row>
    <row r="18" customFormat="false" ht="18" hidden="false" customHeight="true" outlineLevel="0" collapsed="false">
      <c r="A18" s="72" t="s">
        <v>256</v>
      </c>
      <c r="B18" s="8" t="s">
        <v>198</v>
      </c>
      <c r="C18" s="37" t="s">
        <v>197</v>
      </c>
      <c r="D18" s="72" t="s">
        <v>321</v>
      </c>
      <c r="E18" s="48" t="s">
        <v>133</v>
      </c>
      <c r="F18" s="50" t="n">
        <v>40</v>
      </c>
      <c r="G18" s="76" t="n">
        <v>46189</v>
      </c>
    </row>
    <row r="19" customFormat="false" ht="18" hidden="false" customHeight="true" outlineLevel="0" collapsed="false">
      <c r="A19" s="74" t="s">
        <v>258</v>
      </c>
      <c r="B19" s="6" t="s">
        <v>148</v>
      </c>
      <c r="C19" s="36" t="s">
        <v>147</v>
      </c>
      <c r="D19" s="74" t="s">
        <v>322</v>
      </c>
      <c r="E19" s="43" t="s">
        <v>133</v>
      </c>
      <c r="F19" s="45" t="n">
        <v>35</v>
      </c>
      <c r="G19" s="77" t="n">
        <v>46186</v>
      </c>
    </row>
    <row r="20" customFormat="false" ht="18" hidden="false" customHeight="true" outlineLevel="0" collapsed="false">
      <c r="A20" s="72" t="s">
        <v>259</v>
      </c>
      <c r="B20" s="8" t="s">
        <v>193</v>
      </c>
      <c r="C20" s="37" t="s">
        <v>147</v>
      </c>
      <c r="D20" s="72" t="s">
        <v>322</v>
      </c>
      <c r="E20" s="48" t="s">
        <v>133</v>
      </c>
      <c r="F20" s="50" t="n">
        <v>35</v>
      </c>
      <c r="G20" s="76" t="n">
        <v>46183</v>
      </c>
    </row>
    <row r="21" customFormat="false" ht="18" hidden="false" customHeight="true" outlineLevel="0" collapsed="false">
      <c r="A21" s="74" t="s">
        <v>260</v>
      </c>
      <c r="B21" s="6" t="s">
        <v>132</v>
      </c>
      <c r="C21" s="36" t="s">
        <v>131</v>
      </c>
      <c r="D21" s="74" t="s">
        <v>323</v>
      </c>
      <c r="E21" s="43" t="s">
        <v>133</v>
      </c>
      <c r="F21" s="45" t="n">
        <v>50</v>
      </c>
      <c r="G21" s="77" t="n">
        <v>46180</v>
      </c>
    </row>
    <row r="22" customFormat="false" ht="18" hidden="false" customHeight="true" outlineLevel="0" collapsed="false">
      <c r="A22" s="72" t="s">
        <v>261</v>
      </c>
      <c r="B22" s="8" t="s">
        <v>190</v>
      </c>
      <c r="C22" s="37" t="s">
        <v>189</v>
      </c>
      <c r="D22" s="72" t="s">
        <v>324</v>
      </c>
      <c r="E22" s="48" t="s">
        <v>133</v>
      </c>
      <c r="F22" s="50" t="n">
        <v>35</v>
      </c>
      <c r="G22" s="76" t="n">
        <v>46177</v>
      </c>
    </row>
    <row r="23" customFormat="false" ht="18" hidden="false" customHeight="true" outlineLevel="0" collapsed="false">
      <c r="A23" s="74" t="s">
        <v>262</v>
      </c>
      <c r="B23" s="6" t="s">
        <v>205</v>
      </c>
      <c r="C23" s="36" t="s">
        <v>189</v>
      </c>
      <c r="D23" s="74" t="s">
        <v>324</v>
      </c>
      <c r="E23" s="43" t="s">
        <v>133</v>
      </c>
      <c r="F23" s="45" t="n">
        <v>35</v>
      </c>
      <c r="G23" s="77" t="n">
        <v>46174</v>
      </c>
    </row>
    <row r="24" customFormat="false" ht="18" hidden="false" customHeight="true" outlineLevel="0" collapsed="false">
      <c r="A24" s="72" t="s">
        <v>263</v>
      </c>
      <c r="B24" s="8" t="s">
        <v>166</v>
      </c>
      <c r="C24" s="37" t="s">
        <v>165</v>
      </c>
      <c r="D24" s="72" t="s">
        <v>325</v>
      </c>
      <c r="E24" s="48" t="s">
        <v>133</v>
      </c>
      <c r="F24" s="50" t="n">
        <v>30</v>
      </c>
      <c r="G24" s="76" t="n">
        <v>46171</v>
      </c>
    </row>
    <row r="25" customFormat="false" ht="18" hidden="false" customHeight="true" outlineLevel="0" collapsed="false">
      <c r="A25" s="74" t="s">
        <v>265</v>
      </c>
      <c r="B25" s="6" t="s">
        <v>178</v>
      </c>
      <c r="C25" s="36" t="s">
        <v>165</v>
      </c>
      <c r="D25" s="74" t="s">
        <v>325</v>
      </c>
      <c r="E25" s="43" t="s">
        <v>133</v>
      </c>
      <c r="F25" s="45" t="n">
        <v>30</v>
      </c>
      <c r="G25" s="77" t="n">
        <v>46168</v>
      </c>
    </row>
    <row r="26" customFormat="false" ht="18" hidden="false" customHeight="true" outlineLevel="0" collapsed="false">
      <c r="A26" s="72" t="s">
        <v>266</v>
      </c>
      <c r="B26" s="8" t="s">
        <v>158</v>
      </c>
      <c r="C26" s="8" t="s">
        <v>142</v>
      </c>
      <c r="D26" s="72" t="s">
        <v>326</v>
      </c>
      <c r="E26" s="48" t="s">
        <v>125</v>
      </c>
      <c r="F26" s="50" t="n">
        <v>5</v>
      </c>
      <c r="G26" s="76" t="n">
        <v>46165</v>
      </c>
    </row>
    <row r="27" customFormat="false" ht="18" hidden="false" customHeight="true" outlineLevel="0" collapsed="false">
      <c r="A27" s="74" t="s">
        <v>267</v>
      </c>
      <c r="B27" s="6" t="s">
        <v>143</v>
      </c>
      <c r="C27" s="6" t="s">
        <v>142</v>
      </c>
      <c r="D27" s="74" t="s">
        <v>326</v>
      </c>
      <c r="E27" s="43" t="s">
        <v>125</v>
      </c>
      <c r="F27" s="45" t="n">
        <v>5</v>
      </c>
      <c r="G27" s="77" t="n">
        <v>46162</v>
      </c>
    </row>
    <row r="28" customFormat="false" ht="18" hidden="false" customHeight="true" outlineLevel="0" collapsed="false">
      <c r="A28" s="72" t="s">
        <v>268</v>
      </c>
      <c r="B28" s="8" t="s">
        <v>188</v>
      </c>
      <c r="C28" s="8" t="s">
        <v>187</v>
      </c>
      <c r="D28" s="72" t="s">
        <v>327</v>
      </c>
      <c r="E28" s="48" t="s">
        <v>125</v>
      </c>
      <c r="F28" s="50" t="n">
        <v>7</v>
      </c>
      <c r="G28" s="76" t="n">
        <v>46159</v>
      </c>
    </row>
    <row r="29" customFormat="false" ht="18" hidden="false" customHeight="true" outlineLevel="0" collapsed="false">
      <c r="A29" s="74" t="s">
        <v>269</v>
      </c>
      <c r="B29" s="6" t="s">
        <v>185</v>
      </c>
      <c r="C29" s="6" t="s">
        <v>184</v>
      </c>
      <c r="D29" s="74" t="s">
        <v>328</v>
      </c>
      <c r="E29" s="43" t="s">
        <v>125</v>
      </c>
      <c r="F29" s="45" t="n">
        <v>7</v>
      </c>
      <c r="G29" s="77" t="n">
        <v>46156</v>
      </c>
    </row>
    <row r="30" customFormat="false" ht="18" hidden="false" customHeight="true" outlineLevel="0" collapsed="false">
      <c r="A30" s="72" t="s">
        <v>270</v>
      </c>
      <c r="B30" s="8" t="s">
        <v>207</v>
      </c>
      <c r="C30" s="8" t="s">
        <v>123</v>
      </c>
      <c r="D30" s="72" t="s">
        <v>329</v>
      </c>
      <c r="E30" s="48" t="s">
        <v>125</v>
      </c>
      <c r="F30" s="50" t="n">
        <v>10</v>
      </c>
      <c r="G30" s="76" t="n">
        <v>46153</v>
      </c>
    </row>
    <row r="31" customFormat="false" ht="18" hidden="false" customHeight="true" outlineLevel="0" collapsed="false">
      <c r="A31" s="74" t="s">
        <v>272</v>
      </c>
      <c r="B31" s="6" t="s">
        <v>140</v>
      </c>
      <c r="C31" s="6" t="s">
        <v>123</v>
      </c>
      <c r="D31" s="74" t="s">
        <v>329</v>
      </c>
      <c r="E31" s="43" t="s">
        <v>125</v>
      </c>
      <c r="F31" s="45" t="n">
        <v>10</v>
      </c>
      <c r="G31" s="77" t="n">
        <v>46150</v>
      </c>
    </row>
    <row r="32" customFormat="false" ht="18" hidden="false" customHeight="true" outlineLevel="0" collapsed="false">
      <c r="A32" s="72" t="s">
        <v>273</v>
      </c>
      <c r="B32" s="8" t="s">
        <v>209</v>
      </c>
      <c r="C32" s="8" t="s">
        <v>123</v>
      </c>
      <c r="D32" s="72" t="s">
        <v>329</v>
      </c>
      <c r="E32" s="48" t="s">
        <v>125</v>
      </c>
      <c r="F32" s="50" t="n">
        <v>10</v>
      </c>
      <c r="G32" s="76" t="n">
        <v>46147</v>
      </c>
    </row>
    <row r="33" customFormat="false" ht="18" hidden="false" customHeight="true" outlineLevel="0" collapsed="false">
      <c r="A33" s="74" t="s">
        <v>274</v>
      </c>
      <c r="B33" s="6" t="s">
        <v>128</v>
      </c>
      <c r="C33" s="6" t="s">
        <v>123</v>
      </c>
      <c r="D33" s="74" t="s">
        <v>329</v>
      </c>
      <c r="E33" s="43" t="s">
        <v>125</v>
      </c>
      <c r="F33" s="45" t="n">
        <v>10</v>
      </c>
      <c r="G33" s="77" t="n">
        <v>46144</v>
      </c>
    </row>
    <row r="34" customFormat="false" ht="18" hidden="false" customHeight="true" outlineLevel="0" collapsed="false">
      <c r="A34" s="72" t="s">
        <v>276</v>
      </c>
      <c r="B34" s="8" t="s">
        <v>124</v>
      </c>
      <c r="C34" s="8" t="s">
        <v>123</v>
      </c>
      <c r="D34" s="72" t="s">
        <v>329</v>
      </c>
      <c r="E34" s="48" t="s">
        <v>125</v>
      </c>
      <c r="F34" s="50" t="n">
        <v>10</v>
      </c>
      <c r="G34" s="76" t="n">
        <v>46231</v>
      </c>
    </row>
  </sheetData>
  <mergeCells count="3">
    <mergeCell ref="A1:G1"/>
    <mergeCell ref="A2:C2"/>
    <mergeCell ref="D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CCC"/>
    <pageSetUpPr fitToPage="false"/>
  </sheetPr>
  <dimension ref="A1:F9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31"/>
    <col collapsed="false" customWidth="true" hidden="false" outlineLevel="0" max="5" min="5" style="0" width="10"/>
    <col collapsed="false" customWidth="true" hidden="false" outlineLevel="0" max="6" min="6" style="0" width="11"/>
  </cols>
  <sheetData>
    <row r="1" customFormat="false" ht="22.5" hidden="false" customHeight="true" outlineLevel="0" collapsed="false">
      <c r="A1" s="1" t="s">
        <v>337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59" t="s">
        <v>338</v>
      </c>
      <c r="B2" s="59"/>
      <c r="C2" s="59"/>
      <c r="D2" s="60" t="s">
        <v>290</v>
      </c>
      <c r="E2" s="60"/>
      <c r="F2" s="60"/>
    </row>
    <row r="3" customFormat="false" ht="25.5" hidden="false" customHeight="true" outlineLevel="0" collapsed="false">
      <c r="A3" s="9" t="s">
        <v>339</v>
      </c>
      <c r="B3" s="9" t="s">
        <v>340</v>
      </c>
      <c r="C3" s="9" t="s">
        <v>227</v>
      </c>
      <c r="D3" s="9" t="s">
        <v>116</v>
      </c>
      <c r="E3" s="9" t="s">
        <v>341</v>
      </c>
      <c r="F3" s="9" t="s">
        <v>118</v>
      </c>
    </row>
    <row r="4" customFormat="false" ht="18" hidden="false" customHeight="true" outlineLevel="0" collapsed="false">
      <c r="A4" s="72" t="s">
        <v>342</v>
      </c>
      <c r="B4" s="37" t="s">
        <v>343</v>
      </c>
      <c r="C4" s="72" t="s">
        <v>237</v>
      </c>
      <c r="D4" s="8" t="s">
        <v>153</v>
      </c>
      <c r="E4" s="72" t="s">
        <v>344</v>
      </c>
      <c r="F4" s="49" t="n">
        <v>40</v>
      </c>
    </row>
    <row r="5" customFormat="false" ht="18" hidden="false" customHeight="true" outlineLevel="0" collapsed="false">
      <c r="A5" s="74" t="s">
        <v>345</v>
      </c>
      <c r="B5" s="36" t="s">
        <v>230</v>
      </c>
      <c r="C5" s="74" t="s">
        <v>237</v>
      </c>
      <c r="D5" s="6" t="s">
        <v>153</v>
      </c>
      <c r="E5" s="74" t="s">
        <v>344</v>
      </c>
      <c r="F5" s="44" t="n">
        <v>12</v>
      </c>
    </row>
    <row r="6" customFormat="false" ht="18" hidden="false" customHeight="true" outlineLevel="0" collapsed="false">
      <c r="A6" s="72" t="s">
        <v>346</v>
      </c>
      <c r="B6" s="8" t="s">
        <v>347</v>
      </c>
      <c r="C6" s="72" t="s">
        <v>237</v>
      </c>
      <c r="D6" s="8" t="s">
        <v>153</v>
      </c>
      <c r="E6" s="72" t="s">
        <v>344</v>
      </c>
      <c r="F6" s="49" t="n">
        <v>6</v>
      </c>
    </row>
    <row r="7" customFormat="false" ht="18" hidden="false" customHeight="true" outlineLevel="0" collapsed="false">
      <c r="A7" s="74" t="s">
        <v>348</v>
      </c>
      <c r="B7" s="6" t="s">
        <v>349</v>
      </c>
      <c r="C7" s="74" t="s">
        <v>237</v>
      </c>
      <c r="D7" s="6" t="s">
        <v>153</v>
      </c>
      <c r="E7" s="74" t="s">
        <v>344</v>
      </c>
      <c r="F7" s="44" t="n">
        <v>4</v>
      </c>
    </row>
    <row r="8" customFormat="false" ht="18" hidden="false" customHeight="true" outlineLevel="0" collapsed="false">
      <c r="A8" s="72" t="s">
        <v>342</v>
      </c>
      <c r="B8" s="37" t="s">
        <v>343</v>
      </c>
      <c r="C8" s="72" t="s">
        <v>238</v>
      </c>
      <c r="D8" s="8" t="s">
        <v>163</v>
      </c>
      <c r="E8" s="72" t="s">
        <v>344</v>
      </c>
      <c r="F8" s="49" t="n">
        <v>90</v>
      </c>
    </row>
    <row r="9" customFormat="false" ht="18" hidden="false" customHeight="true" outlineLevel="0" collapsed="false">
      <c r="A9" s="74" t="s">
        <v>345</v>
      </c>
      <c r="B9" s="36" t="s">
        <v>230</v>
      </c>
      <c r="C9" s="74" t="s">
        <v>238</v>
      </c>
      <c r="D9" s="6" t="s">
        <v>163</v>
      </c>
      <c r="E9" s="74" t="s">
        <v>344</v>
      </c>
      <c r="F9" s="44" t="n">
        <v>20</v>
      </c>
    </row>
    <row r="10" customFormat="false" ht="18" hidden="false" customHeight="true" outlineLevel="0" collapsed="false">
      <c r="A10" s="72" t="s">
        <v>346</v>
      </c>
      <c r="B10" s="8" t="s">
        <v>347</v>
      </c>
      <c r="C10" s="72" t="s">
        <v>238</v>
      </c>
      <c r="D10" s="8" t="s">
        <v>163</v>
      </c>
      <c r="E10" s="72" t="s">
        <v>344</v>
      </c>
      <c r="F10" s="49" t="n">
        <v>10</v>
      </c>
    </row>
    <row r="11" customFormat="false" ht="18" hidden="false" customHeight="true" outlineLevel="0" collapsed="false">
      <c r="A11" s="74" t="s">
        <v>348</v>
      </c>
      <c r="B11" s="6" t="s">
        <v>349</v>
      </c>
      <c r="C11" s="74" t="s">
        <v>238</v>
      </c>
      <c r="D11" s="6" t="s">
        <v>163</v>
      </c>
      <c r="E11" s="74" t="s">
        <v>344</v>
      </c>
      <c r="F11" s="44" t="n">
        <v>8</v>
      </c>
    </row>
    <row r="12" customFormat="false" ht="18" hidden="false" customHeight="true" outlineLevel="0" collapsed="false">
      <c r="A12" s="72" t="s">
        <v>342</v>
      </c>
      <c r="B12" s="37" t="s">
        <v>343</v>
      </c>
      <c r="C12" s="72" t="s">
        <v>239</v>
      </c>
      <c r="D12" s="8" t="s">
        <v>200</v>
      </c>
      <c r="E12" s="72" t="s">
        <v>344</v>
      </c>
      <c r="F12" s="49" t="n">
        <v>210</v>
      </c>
    </row>
    <row r="13" customFormat="false" ht="18" hidden="false" customHeight="true" outlineLevel="0" collapsed="false">
      <c r="A13" s="74" t="s">
        <v>345</v>
      </c>
      <c r="B13" s="36" t="s">
        <v>230</v>
      </c>
      <c r="C13" s="74" t="s">
        <v>239</v>
      </c>
      <c r="D13" s="6" t="s">
        <v>200</v>
      </c>
      <c r="E13" s="74" t="s">
        <v>344</v>
      </c>
      <c r="F13" s="44" t="n">
        <v>30</v>
      </c>
    </row>
    <row r="14" customFormat="false" ht="18" hidden="false" customHeight="true" outlineLevel="0" collapsed="false">
      <c r="A14" s="72" t="s">
        <v>346</v>
      </c>
      <c r="B14" s="8" t="s">
        <v>347</v>
      </c>
      <c r="C14" s="72" t="s">
        <v>239</v>
      </c>
      <c r="D14" s="8" t="s">
        <v>200</v>
      </c>
      <c r="E14" s="72" t="s">
        <v>344</v>
      </c>
      <c r="F14" s="49" t="n">
        <v>15</v>
      </c>
    </row>
    <row r="15" customFormat="false" ht="18" hidden="false" customHeight="true" outlineLevel="0" collapsed="false">
      <c r="A15" s="74" t="s">
        <v>348</v>
      </c>
      <c r="B15" s="6" t="s">
        <v>349</v>
      </c>
      <c r="C15" s="74" t="s">
        <v>239</v>
      </c>
      <c r="D15" s="6" t="s">
        <v>200</v>
      </c>
      <c r="E15" s="74" t="s">
        <v>344</v>
      </c>
      <c r="F15" s="44" t="n">
        <v>10</v>
      </c>
    </row>
    <row r="16" customFormat="false" ht="18" hidden="false" customHeight="true" outlineLevel="0" collapsed="false">
      <c r="A16" s="72" t="s">
        <v>342</v>
      </c>
      <c r="B16" s="37" t="s">
        <v>343</v>
      </c>
      <c r="C16" s="72" t="s">
        <v>241</v>
      </c>
      <c r="D16" s="8" t="s">
        <v>202</v>
      </c>
      <c r="E16" s="72" t="s">
        <v>344</v>
      </c>
      <c r="F16" s="49" t="n">
        <v>150</v>
      </c>
    </row>
    <row r="17" customFormat="false" ht="18" hidden="false" customHeight="true" outlineLevel="0" collapsed="false">
      <c r="A17" s="74" t="s">
        <v>345</v>
      </c>
      <c r="B17" s="36" t="s">
        <v>230</v>
      </c>
      <c r="C17" s="74" t="s">
        <v>241</v>
      </c>
      <c r="D17" s="6" t="s">
        <v>202</v>
      </c>
      <c r="E17" s="74" t="s">
        <v>344</v>
      </c>
      <c r="F17" s="44" t="n">
        <v>25</v>
      </c>
    </row>
    <row r="18" customFormat="false" ht="18" hidden="false" customHeight="true" outlineLevel="0" collapsed="false">
      <c r="A18" s="72" t="s">
        <v>346</v>
      </c>
      <c r="B18" s="8" t="s">
        <v>347</v>
      </c>
      <c r="C18" s="72" t="s">
        <v>241</v>
      </c>
      <c r="D18" s="8" t="s">
        <v>202</v>
      </c>
      <c r="E18" s="72" t="s">
        <v>344</v>
      </c>
      <c r="F18" s="49" t="n">
        <v>12</v>
      </c>
    </row>
    <row r="19" customFormat="false" ht="18" hidden="false" customHeight="true" outlineLevel="0" collapsed="false">
      <c r="A19" s="74" t="s">
        <v>348</v>
      </c>
      <c r="B19" s="6" t="s">
        <v>349</v>
      </c>
      <c r="C19" s="74" t="s">
        <v>241</v>
      </c>
      <c r="D19" s="6" t="s">
        <v>202</v>
      </c>
      <c r="E19" s="74" t="s">
        <v>344</v>
      </c>
      <c r="F19" s="44" t="n">
        <v>8</v>
      </c>
    </row>
    <row r="20" customFormat="false" ht="18" hidden="false" customHeight="true" outlineLevel="0" collapsed="false">
      <c r="A20" s="72" t="s">
        <v>346</v>
      </c>
      <c r="B20" s="8" t="s">
        <v>347</v>
      </c>
      <c r="C20" s="72" t="s">
        <v>242</v>
      </c>
      <c r="D20" s="8" t="s">
        <v>173</v>
      </c>
      <c r="E20" s="72" t="s">
        <v>344</v>
      </c>
      <c r="F20" s="49" t="n">
        <v>3</v>
      </c>
    </row>
    <row r="21" customFormat="false" ht="18" hidden="false" customHeight="true" outlineLevel="0" collapsed="false">
      <c r="A21" s="74" t="s">
        <v>342</v>
      </c>
      <c r="B21" s="36" t="s">
        <v>343</v>
      </c>
      <c r="C21" s="74" t="s">
        <v>244</v>
      </c>
      <c r="D21" s="6" t="s">
        <v>245</v>
      </c>
      <c r="E21" s="74" t="s">
        <v>344</v>
      </c>
      <c r="F21" s="44" t="n">
        <v>88</v>
      </c>
    </row>
    <row r="22" customFormat="false" ht="18" hidden="false" customHeight="true" outlineLevel="0" collapsed="false">
      <c r="A22" s="72" t="s">
        <v>345</v>
      </c>
      <c r="B22" s="37" t="s">
        <v>230</v>
      </c>
      <c r="C22" s="72" t="s">
        <v>244</v>
      </c>
      <c r="D22" s="8" t="s">
        <v>245</v>
      </c>
      <c r="E22" s="72" t="s">
        <v>344</v>
      </c>
      <c r="F22" s="49" t="n">
        <v>18</v>
      </c>
    </row>
    <row r="23" customFormat="false" ht="18" hidden="false" customHeight="true" outlineLevel="0" collapsed="false">
      <c r="A23" s="74" t="s">
        <v>346</v>
      </c>
      <c r="B23" s="6" t="s">
        <v>347</v>
      </c>
      <c r="C23" s="74" t="s">
        <v>244</v>
      </c>
      <c r="D23" s="6" t="s">
        <v>245</v>
      </c>
      <c r="E23" s="74" t="s">
        <v>344</v>
      </c>
      <c r="F23" s="44" t="n">
        <v>9</v>
      </c>
    </row>
    <row r="24" customFormat="false" ht="18" hidden="false" customHeight="true" outlineLevel="0" collapsed="false">
      <c r="A24" s="72" t="s">
        <v>348</v>
      </c>
      <c r="B24" s="8" t="s">
        <v>349</v>
      </c>
      <c r="C24" s="72" t="s">
        <v>244</v>
      </c>
      <c r="D24" s="8" t="s">
        <v>245</v>
      </c>
      <c r="E24" s="72" t="s">
        <v>344</v>
      </c>
      <c r="F24" s="49" t="n">
        <v>5</v>
      </c>
    </row>
    <row r="25" customFormat="false" ht="18" hidden="false" customHeight="true" outlineLevel="0" collapsed="false">
      <c r="A25" s="74" t="s">
        <v>342</v>
      </c>
      <c r="B25" s="36" t="s">
        <v>343</v>
      </c>
      <c r="C25" s="74" t="s">
        <v>246</v>
      </c>
      <c r="D25" s="6" t="s">
        <v>145</v>
      </c>
      <c r="E25" s="74" t="s">
        <v>344</v>
      </c>
      <c r="F25" s="44" t="n">
        <v>22</v>
      </c>
    </row>
    <row r="26" customFormat="false" ht="18" hidden="false" customHeight="true" outlineLevel="0" collapsed="false">
      <c r="A26" s="72" t="s">
        <v>345</v>
      </c>
      <c r="B26" s="37" t="s">
        <v>230</v>
      </c>
      <c r="C26" s="72" t="s">
        <v>246</v>
      </c>
      <c r="D26" s="8" t="s">
        <v>145</v>
      </c>
      <c r="E26" s="72" t="s">
        <v>344</v>
      </c>
      <c r="F26" s="49" t="n">
        <v>4</v>
      </c>
    </row>
    <row r="27" customFormat="false" ht="18" hidden="false" customHeight="true" outlineLevel="0" collapsed="false">
      <c r="A27" s="74" t="s">
        <v>348</v>
      </c>
      <c r="B27" s="6" t="s">
        <v>349</v>
      </c>
      <c r="C27" s="74" t="s">
        <v>246</v>
      </c>
      <c r="D27" s="6" t="s">
        <v>145</v>
      </c>
      <c r="E27" s="74" t="s">
        <v>344</v>
      </c>
      <c r="F27" s="44" t="n">
        <v>2</v>
      </c>
    </row>
    <row r="28" customFormat="false" ht="18" hidden="false" customHeight="true" outlineLevel="0" collapsed="false">
      <c r="A28" s="72" t="s">
        <v>342</v>
      </c>
      <c r="B28" s="37" t="s">
        <v>343</v>
      </c>
      <c r="C28" s="72" t="s">
        <v>247</v>
      </c>
      <c r="D28" s="8" t="s">
        <v>203</v>
      </c>
      <c r="E28" s="72" t="s">
        <v>344</v>
      </c>
      <c r="F28" s="49" t="n">
        <v>46</v>
      </c>
    </row>
    <row r="29" customFormat="false" ht="18" hidden="false" customHeight="true" outlineLevel="0" collapsed="false">
      <c r="A29" s="74" t="s">
        <v>345</v>
      </c>
      <c r="B29" s="36" t="s">
        <v>230</v>
      </c>
      <c r="C29" s="74" t="s">
        <v>247</v>
      </c>
      <c r="D29" s="6" t="s">
        <v>203</v>
      </c>
      <c r="E29" s="74" t="s">
        <v>344</v>
      </c>
      <c r="F29" s="44" t="n">
        <v>10</v>
      </c>
    </row>
    <row r="30" customFormat="false" ht="18" hidden="false" customHeight="true" outlineLevel="0" collapsed="false">
      <c r="A30" s="72" t="s">
        <v>346</v>
      </c>
      <c r="B30" s="8" t="s">
        <v>347</v>
      </c>
      <c r="C30" s="72" t="s">
        <v>247</v>
      </c>
      <c r="D30" s="8" t="s">
        <v>203</v>
      </c>
      <c r="E30" s="72" t="s">
        <v>344</v>
      </c>
      <c r="F30" s="49" t="n">
        <v>5</v>
      </c>
    </row>
    <row r="31" customFormat="false" ht="18" hidden="false" customHeight="true" outlineLevel="0" collapsed="false">
      <c r="A31" s="74" t="s">
        <v>348</v>
      </c>
      <c r="B31" s="6" t="s">
        <v>349</v>
      </c>
      <c r="C31" s="74" t="s">
        <v>247</v>
      </c>
      <c r="D31" s="6" t="s">
        <v>203</v>
      </c>
      <c r="E31" s="74" t="s">
        <v>344</v>
      </c>
      <c r="F31" s="44" t="n">
        <v>3</v>
      </c>
    </row>
    <row r="32" customFormat="false" ht="18" hidden="false" customHeight="true" outlineLevel="0" collapsed="false">
      <c r="A32" s="72" t="s">
        <v>342</v>
      </c>
      <c r="B32" s="37" t="s">
        <v>343</v>
      </c>
      <c r="C32" s="72" t="s">
        <v>248</v>
      </c>
      <c r="D32" s="8" t="s">
        <v>137</v>
      </c>
      <c r="E32" s="72" t="s">
        <v>344</v>
      </c>
      <c r="F32" s="49" t="n">
        <v>12</v>
      </c>
    </row>
    <row r="33" customFormat="false" ht="18" hidden="false" customHeight="true" outlineLevel="0" collapsed="false">
      <c r="A33" s="74" t="s">
        <v>345</v>
      </c>
      <c r="B33" s="36" t="s">
        <v>230</v>
      </c>
      <c r="C33" s="74" t="s">
        <v>248</v>
      </c>
      <c r="D33" s="6" t="s">
        <v>137</v>
      </c>
      <c r="E33" s="74" t="s">
        <v>344</v>
      </c>
      <c r="F33" s="44" t="n">
        <v>2</v>
      </c>
    </row>
    <row r="34" customFormat="false" ht="18" hidden="false" customHeight="true" outlineLevel="0" collapsed="false">
      <c r="A34" s="72" t="s">
        <v>342</v>
      </c>
      <c r="B34" s="37" t="s">
        <v>343</v>
      </c>
      <c r="C34" s="72" t="s">
        <v>251</v>
      </c>
      <c r="D34" s="8" t="s">
        <v>176</v>
      </c>
      <c r="E34" s="72" t="s">
        <v>344</v>
      </c>
      <c r="F34" s="49" t="n">
        <v>2</v>
      </c>
    </row>
    <row r="35" customFormat="false" ht="18" hidden="false" customHeight="true" outlineLevel="0" collapsed="false">
      <c r="A35" s="74" t="s">
        <v>345</v>
      </c>
      <c r="B35" s="36" t="s">
        <v>230</v>
      </c>
      <c r="C35" s="74" t="s">
        <v>251</v>
      </c>
      <c r="D35" s="6" t="s">
        <v>176</v>
      </c>
      <c r="E35" s="74" t="s">
        <v>344</v>
      </c>
      <c r="F35" s="44" t="n">
        <v>1</v>
      </c>
    </row>
    <row r="36" customFormat="false" ht="18" hidden="false" customHeight="true" outlineLevel="0" collapsed="false">
      <c r="A36" s="72" t="s">
        <v>342</v>
      </c>
      <c r="B36" s="37" t="s">
        <v>343</v>
      </c>
      <c r="C36" s="72" t="s">
        <v>252</v>
      </c>
      <c r="D36" s="8" t="s">
        <v>151</v>
      </c>
      <c r="E36" s="72" t="s">
        <v>344</v>
      </c>
      <c r="F36" s="49" t="n">
        <v>35</v>
      </c>
    </row>
    <row r="37" customFormat="false" ht="18" hidden="false" customHeight="true" outlineLevel="0" collapsed="false">
      <c r="A37" s="74" t="s">
        <v>345</v>
      </c>
      <c r="B37" s="36" t="s">
        <v>230</v>
      </c>
      <c r="C37" s="74" t="s">
        <v>252</v>
      </c>
      <c r="D37" s="6" t="s">
        <v>151</v>
      </c>
      <c r="E37" s="74" t="s">
        <v>344</v>
      </c>
      <c r="F37" s="44" t="n">
        <v>10</v>
      </c>
    </row>
    <row r="38" customFormat="false" ht="18" hidden="false" customHeight="true" outlineLevel="0" collapsed="false">
      <c r="A38" s="72" t="s">
        <v>346</v>
      </c>
      <c r="B38" s="8" t="s">
        <v>347</v>
      </c>
      <c r="C38" s="72" t="s">
        <v>252</v>
      </c>
      <c r="D38" s="8" t="s">
        <v>151</v>
      </c>
      <c r="E38" s="72" t="s">
        <v>344</v>
      </c>
      <c r="F38" s="49" t="n">
        <v>5</v>
      </c>
    </row>
    <row r="39" customFormat="false" ht="18" hidden="false" customHeight="true" outlineLevel="0" collapsed="false">
      <c r="A39" s="74" t="s">
        <v>348</v>
      </c>
      <c r="B39" s="6" t="s">
        <v>349</v>
      </c>
      <c r="C39" s="74" t="s">
        <v>252</v>
      </c>
      <c r="D39" s="6" t="s">
        <v>151</v>
      </c>
      <c r="E39" s="74" t="s">
        <v>344</v>
      </c>
      <c r="F39" s="44" t="n">
        <v>4</v>
      </c>
    </row>
    <row r="40" customFormat="false" ht="18" hidden="false" customHeight="true" outlineLevel="0" collapsed="false">
      <c r="A40" s="72" t="s">
        <v>342</v>
      </c>
      <c r="B40" s="37" t="s">
        <v>343</v>
      </c>
      <c r="C40" s="72" t="s">
        <v>253</v>
      </c>
      <c r="D40" s="8" t="s">
        <v>161</v>
      </c>
      <c r="E40" s="72" t="s">
        <v>344</v>
      </c>
      <c r="F40" s="49" t="n">
        <v>80</v>
      </c>
    </row>
    <row r="41" customFormat="false" ht="18" hidden="false" customHeight="true" outlineLevel="0" collapsed="false">
      <c r="A41" s="74" t="s">
        <v>345</v>
      </c>
      <c r="B41" s="36" t="s">
        <v>230</v>
      </c>
      <c r="C41" s="74" t="s">
        <v>253</v>
      </c>
      <c r="D41" s="6" t="s">
        <v>161</v>
      </c>
      <c r="E41" s="74" t="s">
        <v>344</v>
      </c>
      <c r="F41" s="44" t="n">
        <v>14</v>
      </c>
    </row>
    <row r="42" customFormat="false" ht="18" hidden="false" customHeight="true" outlineLevel="0" collapsed="false">
      <c r="A42" s="72" t="s">
        <v>346</v>
      </c>
      <c r="B42" s="8" t="s">
        <v>347</v>
      </c>
      <c r="C42" s="72" t="s">
        <v>253</v>
      </c>
      <c r="D42" s="8" t="s">
        <v>161</v>
      </c>
      <c r="E42" s="72" t="s">
        <v>344</v>
      </c>
      <c r="F42" s="49" t="n">
        <v>7</v>
      </c>
    </row>
    <row r="43" customFormat="false" ht="18" hidden="false" customHeight="true" outlineLevel="0" collapsed="false">
      <c r="A43" s="74" t="s">
        <v>348</v>
      </c>
      <c r="B43" s="6" t="s">
        <v>349</v>
      </c>
      <c r="C43" s="74" t="s">
        <v>253</v>
      </c>
      <c r="D43" s="6" t="s">
        <v>161</v>
      </c>
      <c r="E43" s="74" t="s">
        <v>344</v>
      </c>
      <c r="F43" s="44" t="n">
        <v>5</v>
      </c>
    </row>
    <row r="44" customFormat="false" ht="18" hidden="false" customHeight="true" outlineLevel="0" collapsed="false">
      <c r="A44" s="72" t="s">
        <v>342</v>
      </c>
      <c r="B44" s="37" t="s">
        <v>343</v>
      </c>
      <c r="C44" s="72" t="s">
        <v>254</v>
      </c>
      <c r="D44" s="8" t="s">
        <v>255</v>
      </c>
      <c r="E44" s="72" t="s">
        <v>344</v>
      </c>
      <c r="F44" s="49" t="n">
        <v>120</v>
      </c>
    </row>
    <row r="45" customFormat="false" ht="18" hidden="false" customHeight="true" outlineLevel="0" collapsed="false">
      <c r="A45" s="74" t="s">
        <v>345</v>
      </c>
      <c r="B45" s="36" t="s">
        <v>230</v>
      </c>
      <c r="C45" s="74" t="s">
        <v>254</v>
      </c>
      <c r="D45" s="6" t="s">
        <v>255</v>
      </c>
      <c r="E45" s="74" t="s">
        <v>344</v>
      </c>
      <c r="F45" s="44" t="n">
        <v>20</v>
      </c>
    </row>
    <row r="46" customFormat="false" ht="18" hidden="false" customHeight="true" outlineLevel="0" collapsed="false">
      <c r="A46" s="72" t="s">
        <v>346</v>
      </c>
      <c r="B46" s="8" t="s">
        <v>347</v>
      </c>
      <c r="C46" s="72" t="s">
        <v>254</v>
      </c>
      <c r="D46" s="8" t="s">
        <v>255</v>
      </c>
      <c r="E46" s="72" t="s">
        <v>344</v>
      </c>
      <c r="F46" s="49" t="n">
        <v>10</v>
      </c>
    </row>
    <row r="47" customFormat="false" ht="18" hidden="false" customHeight="true" outlineLevel="0" collapsed="false">
      <c r="A47" s="74" t="s">
        <v>348</v>
      </c>
      <c r="B47" s="6" t="s">
        <v>349</v>
      </c>
      <c r="C47" s="74" t="s">
        <v>254</v>
      </c>
      <c r="D47" s="6" t="s">
        <v>255</v>
      </c>
      <c r="E47" s="74" t="s">
        <v>344</v>
      </c>
      <c r="F47" s="44" t="n">
        <v>6</v>
      </c>
    </row>
    <row r="48" customFormat="false" ht="18" hidden="false" customHeight="true" outlineLevel="0" collapsed="false">
      <c r="A48" s="72" t="s">
        <v>342</v>
      </c>
      <c r="B48" s="37" t="s">
        <v>343</v>
      </c>
      <c r="C48" s="72" t="s">
        <v>256</v>
      </c>
      <c r="D48" s="8" t="s">
        <v>198</v>
      </c>
      <c r="E48" s="72" t="s">
        <v>344</v>
      </c>
      <c r="F48" s="49" t="n">
        <v>300</v>
      </c>
    </row>
    <row r="49" customFormat="false" ht="18" hidden="false" customHeight="true" outlineLevel="0" collapsed="false">
      <c r="A49" s="74" t="s">
        <v>345</v>
      </c>
      <c r="B49" s="36" t="s">
        <v>230</v>
      </c>
      <c r="C49" s="74" t="s">
        <v>256</v>
      </c>
      <c r="D49" s="6" t="s">
        <v>198</v>
      </c>
      <c r="E49" s="74" t="s">
        <v>344</v>
      </c>
      <c r="F49" s="44" t="n">
        <v>40</v>
      </c>
    </row>
    <row r="50" customFormat="false" ht="18" hidden="false" customHeight="true" outlineLevel="0" collapsed="false">
      <c r="A50" s="72" t="s">
        <v>346</v>
      </c>
      <c r="B50" s="8" t="s">
        <v>347</v>
      </c>
      <c r="C50" s="72" t="s">
        <v>256</v>
      </c>
      <c r="D50" s="8" t="s">
        <v>198</v>
      </c>
      <c r="E50" s="72" t="s">
        <v>344</v>
      </c>
      <c r="F50" s="49" t="n">
        <v>20</v>
      </c>
    </row>
    <row r="51" customFormat="false" ht="18" hidden="false" customHeight="true" outlineLevel="0" collapsed="false">
      <c r="A51" s="74" t="s">
        <v>348</v>
      </c>
      <c r="B51" s="6" t="s">
        <v>349</v>
      </c>
      <c r="C51" s="74" t="s">
        <v>256</v>
      </c>
      <c r="D51" s="6" t="s">
        <v>198</v>
      </c>
      <c r="E51" s="74" t="s">
        <v>344</v>
      </c>
      <c r="F51" s="44" t="n">
        <v>12</v>
      </c>
    </row>
    <row r="52" customFormat="false" ht="18" hidden="false" customHeight="true" outlineLevel="0" collapsed="false">
      <c r="A52" s="72" t="s">
        <v>342</v>
      </c>
      <c r="B52" s="37" t="s">
        <v>343</v>
      </c>
      <c r="C52" s="72" t="s">
        <v>258</v>
      </c>
      <c r="D52" s="8" t="s">
        <v>148</v>
      </c>
      <c r="E52" s="72" t="s">
        <v>344</v>
      </c>
      <c r="F52" s="49" t="n">
        <v>24</v>
      </c>
    </row>
    <row r="53" customFormat="false" ht="18" hidden="false" customHeight="true" outlineLevel="0" collapsed="false">
      <c r="A53" s="74" t="s">
        <v>345</v>
      </c>
      <c r="B53" s="36" t="s">
        <v>230</v>
      </c>
      <c r="C53" s="74" t="s">
        <v>258</v>
      </c>
      <c r="D53" s="6" t="s">
        <v>148</v>
      </c>
      <c r="E53" s="74" t="s">
        <v>344</v>
      </c>
      <c r="F53" s="44" t="n">
        <v>6</v>
      </c>
    </row>
    <row r="54" customFormat="false" ht="18" hidden="false" customHeight="true" outlineLevel="0" collapsed="false">
      <c r="A54" s="72" t="s">
        <v>348</v>
      </c>
      <c r="B54" s="8" t="s">
        <v>349</v>
      </c>
      <c r="C54" s="72" t="s">
        <v>258</v>
      </c>
      <c r="D54" s="8" t="s">
        <v>148</v>
      </c>
      <c r="E54" s="72" t="s">
        <v>344</v>
      </c>
      <c r="F54" s="49" t="n">
        <v>3</v>
      </c>
    </row>
    <row r="55" customFormat="false" ht="18" hidden="false" customHeight="true" outlineLevel="0" collapsed="false">
      <c r="A55" s="74" t="s">
        <v>342</v>
      </c>
      <c r="B55" s="36" t="s">
        <v>343</v>
      </c>
      <c r="C55" s="74" t="s">
        <v>259</v>
      </c>
      <c r="D55" s="6" t="s">
        <v>193</v>
      </c>
      <c r="E55" s="74" t="s">
        <v>344</v>
      </c>
      <c r="F55" s="44" t="n">
        <v>96</v>
      </c>
    </row>
    <row r="56" customFormat="false" ht="18" hidden="false" customHeight="true" outlineLevel="0" collapsed="false">
      <c r="A56" s="72" t="s">
        <v>345</v>
      </c>
      <c r="B56" s="37" t="s">
        <v>230</v>
      </c>
      <c r="C56" s="72" t="s">
        <v>259</v>
      </c>
      <c r="D56" s="8" t="s">
        <v>193</v>
      </c>
      <c r="E56" s="72" t="s">
        <v>344</v>
      </c>
      <c r="F56" s="49" t="n">
        <v>16</v>
      </c>
    </row>
    <row r="57" customFormat="false" ht="18" hidden="false" customHeight="true" outlineLevel="0" collapsed="false">
      <c r="A57" s="74" t="s">
        <v>346</v>
      </c>
      <c r="B57" s="6" t="s">
        <v>347</v>
      </c>
      <c r="C57" s="74" t="s">
        <v>259</v>
      </c>
      <c r="D57" s="6" t="s">
        <v>193</v>
      </c>
      <c r="E57" s="74" t="s">
        <v>344</v>
      </c>
      <c r="F57" s="44" t="n">
        <v>8</v>
      </c>
    </row>
    <row r="58" customFormat="false" ht="18" hidden="false" customHeight="true" outlineLevel="0" collapsed="false">
      <c r="A58" s="72" t="s">
        <v>348</v>
      </c>
      <c r="B58" s="8" t="s">
        <v>349</v>
      </c>
      <c r="C58" s="72" t="s">
        <v>259</v>
      </c>
      <c r="D58" s="8" t="s">
        <v>193</v>
      </c>
      <c r="E58" s="72" t="s">
        <v>344</v>
      </c>
      <c r="F58" s="49" t="n">
        <v>6</v>
      </c>
    </row>
    <row r="59" customFormat="false" ht="18" hidden="false" customHeight="true" outlineLevel="0" collapsed="false">
      <c r="A59" s="74" t="s">
        <v>345</v>
      </c>
      <c r="B59" s="36" t="s">
        <v>230</v>
      </c>
      <c r="C59" s="74" t="s">
        <v>260</v>
      </c>
      <c r="D59" s="6" t="s">
        <v>132</v>
      </c>
      <c r="E59" s="74" t="s">
        <v>344</v>
      </c>
      <c r="F59" s="44" t="n">
        <v>5</v>
      </c>
    </row>
    <row r="60" customFormat="false" ht="18" hidden="false" customHeight="true" outlineLevel="0" collapsed="false">
      <c r="A60" s="72" t="s">
        <v>346</v>
      </c>
      <c r="B60" s="8" t="s">
        <v>347</v>
      </c>
      <c r="C60" s="72" t="s">
        <v>260</v>
      </c>
      <c r="D60" s="8" t="s">
        <v>132</v>
      </c>
      <c r="E60" s="72" t="s">
        <v>344</v>
      </c>
      <c r="F60" s="49" t="n">
        <v>2</v>
      </c>
    </row>
    <row r="61" customFormat="false" ht="18" hidden="false" customHeight="true" outlineLevel="0" collapsed="false">
      <c r="A61" s="74" t="s">
        <v>342</v>
      </c>
      <c r="B61" s="36" t="s">
        <v>343</v>
      </c>
      <c r="C61" s="74" t="s">
        <v>261</v>
      </c>
      <c r="D61" s="6" t="s">
        <v>190</v>
      </c>
      <c r="E61" s="74" t="s">
        <v>344</v>
      </c>
      <c r="F61" s="44" t="n">
        <v>140</v>
      </c>
    </row>
    <row r="62" customFormat="false" ht="18" hidden="false" customHeight="true" outlineLevel="0" collapsed="false">
      <c r="A62" s="72" t="s">
        <v>345</v>
      </c>
      <c r="B62" s="37" t="s">
        <v>230</v>
      </c>
      <c r="C62" s="72" t="s">
        <v>261</v>
      </c>
      <c r="D62" s="8" t="s">
        <v>190</v>
      </c>
      <c r="E62" s="72" t="s">
        <v>344</v>
      </c>
      <c r="F62" s="49" t="n">
        <v>24</v>
      </c>
    </row>
    <row r="63" customFormat="false" ht="18" hidden="false" customHeight="true" outlineLevel="0" collapsed="false">
      <c r="A63" s="74" t="s">
        <v>346</v>
      </c>
      <c r="B63" s="6" t="s">
        <v>347</v>
      </c>
      <c r="C63" s="74" t="s">
        <v>261</v>
      </c>
      <c r="D63" s="6" t="s">
        <v>190</v>
      </c>
      <c r="E63" s="74" t="s">
        <v>344</v>
      </c>
      <c r="F63" s="44" t="n">
        <v>12</v>
      </c>
    </row>
    <row r="64" customFormat="false" ht="18" hidden="false" customHeight="true" outlineLevel="0" collapsed="false">
      <c r="A64" s="72" t="s">
        <v>348</v>
      </c>
      <c r="B64" s="8" t="s">
        <v>349</v>
      </c>
      <c r="C64" s="72" t="s">
        <v>261</v>
      </c>
      <c r="D64" s="8" t="s">
        <v>190</v>
      </c>
      <c r="E64" s="72" t="s">
        <v>344</v>
      </c>
      <c r="F64" s="49" t="n">
        <v>8</v>
      </c>
    </row>
    <row r="65" customFormat="false" ht="18" hidden="false" customHeight="true" outlineLevel="0" collapsed="false">
      <c r="A65" s="74" t="s">
        <v>342</v>
      </c>
      <c r="B65" s="36" t="s">
        <v>343</v>
      </c>
      <c r="C65" s="74" t="s">
        <v>262</v>
      </c>
      <c r="D65" s="6" t="s">
        <v>205</v>
      </c>
      <c r="E65" s="74" t="s">
        <v>344</v>
      </c>
      <c r="F65" s="44" t="n">
        <v>62</v>
      </c>
    </row>
    <row r="66" customFormat="false" ht="18" hidden="false" customHeight="true" outlineLevel="0" collapsed="false">
      <c r="A66" s="72" t="s">
        <v>345</v>
      </c>
      <c r="B66" s="37" t="s">
        <v>230</v>
      </c>
      <c r="C66" s="72" t="s">
        <v>262</v>
      </c>
      <c r="D66" s="8" t="s">
        <v>205</v>
      </c>
      <c r="E66" s="72" t="s">
        <v>344</v>
      </c>
      <c r="F66" s="49" t="n">
        <v>12</v>
      </c>
    </row>
    <row r="67" customFormat="false" ht="18" hidden="false" customHeight="true" outlineLevel="0" collapsed="false">
      <c r="A67" s="74" t="s">
        <v>346</v>
      </c>
      <c r="B67" s="6" t="s">
        <v>347</v>
      </c>
      <c r="C67" s="74" t="s">
        <v>262</v>
      </c>
      <c r="D67" s="6" t="s">
        <v>205</v>
      </c>
      <c r="E67" s="74" t="s">
        <v>344</v>
      </c>
      <c r="F67" s="44" t="n">
        <v>6</v>
      </c>
    </row>
    <row r="68" customFormat="false" ht="18" hidden="false" customHeight="true" outlineLevel="0" collapsed="false">
      <c r="A68" s="72" t="s">
        <v>348</v>
      </c>
      <c r="B68" s="8" t="s">
        <v>349</v>
      </c>
      <c r="C68" s="72" t="s">
        <v>262</v>
      </c>
      <c r="D68" s="8" t="s">
        <v>205</v>
      </c>
      <c r="E68" s="72" t="s">
        <v>344</v>
      </c>
      <c r="F68" s="49" t="n">
        <v>4</v>
      </c>
    </row>
    <row r="69" customFormat="false" ht="18" hidden="false" customHeight="true" outlineLevel="0" collapsed="false">
      <c r="A69" s="74" t="s">
        <v>342</v>
      </c>
      <c r="B69" s="36" t="s">
        <v>343</v>
      </c>
      <c r="C69" s="74" t="s">
        <v>265</v>
      </c>
      <c r="D69" s="6" t="s">
        <v>178</v>
      </c>
      <c r="E69" s="74" t="s">
        <v>344</v>
      </c>
      <c r="F69" s="44" t="n">
        <v>3</v>
      </c>
    </row>
    <row r="70" customFormat="false" ht="18" hidden="false" customHeight="true" outlineLevel="0" collapsed="false">
      <c r="A70" s="72" t="s">
        <v>346</v>
      </c>
      <c r="B70" s="8" t="s">
        <v>347</v>
      </c>
      <c r="C70" s="72" t="s">
        <v>265</v>
      </c>
      <c r="D70" s="8" t="s">
        <v>178</v>
      </c>
      <c r="E70" s="72" t="s">
        <v>344</v>
      </c>
      <c r="F70" s="49" t="n">
        <v>1</v>
      </c>
    </row>
    <row r="71" customFormat="false" ht="18" hidden="false" customHeight="true" outlineLevel="0" collapsed="false">
      <c r="A71" s="74" t="s">
        <v>342</v>
      </c>
      <c r="B71" s="36" t="s">
        <v>343</v>
      </c>
      <c r="C71" s="74" t="s">
        <v>266</v>
      </c>
      <c r="D71" s="6" t="s">
        <v>158</v>
      </c>
      <c r="E71" s="74" t="s">
        <v>344</v>
      </c>
      <c r="F71" s="44" t="n">
        <v>46</v>
      </c>
    </row>
    <row r="72" customFormat="false" ht="18" hidden="false" customHeight="true" outlineLevel="0" collapsed="false">
      <c r="A72" s="72" t="s">
        <v>345</v>
      </c>
      <c r="B72" s="37" t="s">
        <v>230</v>
      </c>
      <c r="C72" s="72" t="s">
        <v>266</v>
      </c>
      <c r="D72" s="8" t="s">
        <v>158</v>
      </c>
      <c r="E72" s="72" t="s">
        <v>344</v>
      </c>
      <c r="F72" s="49" t="n">
        <v>8</v>
      </c>
    </row>
    <row r="73" customFormat="false" ht="18" hidden="false" customHeight="true" outlineLevel="0" collapsed="false">
      <c r="A73" s="74" t="s">
        <v>346</v>
      </c>
      <c r="B73" s="6" t="s">
        <v>347</v>
      </c>
      <c r="C73" s="74" t="s">
        <v>266</v>
      </c>
      <c r="D73" s="6" t="s">
        <v>158</v>
      </c>
      <c r="E73" s="74" t="s">
        <v>344</v>
      </c>
      <c r="F73" s="44" t="n">
        <v>4</v>
      </c>
    </row>
    <row r="74" customFormat="false" ht="18" hidden="false" customHeight="true" outlineLevel="0" collapsed="false">
      <c r="A74" s="72" t="s">
        <v>348</v>
      </c>
      <c r="B74" s="8" t="s">
        <v>349</v>
      </c>
      <c r="C74" s="72" t="s">
        <v>266</v>
      </c>
      <c r="D74" s="8" t="s">
        <v>158</v>
      </c>
      <c r="E74" s="72" t="s">
        <v>344</v>
      </c>
      <c r="F74" s="49" t="n">
        <v>3</v>
      </c>
    </row>
    <row r="75" customFormat="false" ht="18" hidden="false" customHeight="true" outlineLevel="0" collapsed="false">
      <c r="A75" s="74" t="s">
        <v>342</v>
      </c>
      <c r="B75" s="36" t="s">
        <v>343</v>
      </c>
      <c r="C75" s="74" t="s">
        <v>267</v>
      </c>
      <c r="D75" s="6" t="s">
        <v>143</v>
      </c>
      <c r="E75" s="74" t="s">
        <v>344</v>
      </c>
      <c r="F75" s="44" t="n">
        <v>18</v>
      </c>
    </row>
    <row r="76" customFormat="false" ht="18" hidden="false" customHeight="true" outlineLevel="0" collapsed="false">
      <c r="A76" s="72" t="s">
        <v>345</v>
      </c>
      <c r="B76" s="37" t="s">
        <v>230</v>
      </c>
      <c r="C76" s="72" t="s">
        <v>267</v>
      </c>
      <c r="D76" s="8" t="s">
        <v>143</v>
      </c>
      <c r="E76" s="72" t="s">
        <v>344</v>
      </c>
      <c r="F76" s="49" t="n">
        <v>4</v>
      </c>
    </row>
    <row r="77" customFormat="false" ht="18" hidden="false" customHeight="true" outlineLevel="0" collapsed="false">
      <c r="A77" s="74" t="s">
        <v>346</v>
      </c>
      <c r="B77" s="6" t="s">
        <v>347</v>
      </c>
      <c r="C77" s="74" t="s">
        <v>267</v>
      </c>
      <c r="D77" s="6" t="s">
        <v>143</v>
      </c>
      <c r="E77" s="74" t="s">
        <v>344</v>
      </c>
      <c r="F77" s="44" t="n">
        <v>2</v>
      </c>
    </row>
    <row r="78" customFormat="false" ht="18" hidden="false" customHeight="true" outlineLevel="0" collapsed="false">
      <c r="A78" s="72" t="s">
        <v>348</v>
      </c>
      <c r="B78" s="8" t="s">
        <v>349</v>
      </c>
      <c r="C78" s="72" t="s">
        <v>267</v>
      </c>
      <c r="D78" s="8" t="s">
        <v>143</v>
      </c>
      <c r="E78" s="72" t="s">
        <v>344</v>
      </c>
      <c r="F78" s="49" t="n">
        <v>1</v>
      </c>
    </row>
    <row r="79" customFormat="false" ht="18" hidden="false" customHeight="true" outlineLevel="0" collapsed="false">
      <c r="A79" s="74" t="s">
        <v>342</v>
      </c>
      <c r="B79" s="36" t="s">
        <v>343</v>
      </c>
      <c r="C79" s="74" t="s">
        <v>268</v>
      </c>
      <c r="D79" s="6" t="s">
        <v>188</v>
      </c>
      <c r="E79" s="74" t="s">
        <v>344</v>
      </c>
      <c r="F79" s="44" t="n">
        <v>130</v>
      </c>
    </row>
    <row r="80" customFormat="false" ht="18" hidden="false" customHeight="true" outlineLevel="0" collapsed="false">
      <c r="A80" s="72" t="s">
        <v>345</v>
      </c>
      <c r="B80" s="37" t="s">
        <v>230</v>
      </c>
      <c r="C80" s="72" t="s">
        <v>268</v>
      </c>
      <c r="D80" s="8" t="s">
        <v>188</v>
      </c>
      <c r="E80" s="72" t="s">
        <v>344</v>
      </c>
      <c r="F80" s="49" t="n">
        <v>20</v>
      </c>
    </row>
    <row r="81" customFormat="false" ht="18" hidden="false" customHeight="true" outlineLevel="0" collapsed="false">
      <c r="A81" s="74" t="s">
        <v>346</v>
      </c>
      <c r="B81" s="6" t="s">
        <v>347</v>
      </c>
      <c r="C81" s="74" t="s">
        <v>268</v>
      </c>
      <c r="D81" s="6" t="s">
        <v>188</v>
      </c>
      <c r="E81" s="74" t="s">
        <v>344</v>
      </c>
      <c r="F81" s="44" t="n">
        <v>10</v>
      </c>
    </row>
    <row r="82" customFormat="false" ht="18" hidden="false" customHeight="true" outlineLevel="0" collapsed="false">
      <c r="A82" s="72" t="s">
        <v>348</v>
      </c>
      <c r="B82" s="8" t="s">
        <v>349</v>
      </c>
      <c r="C82" s="72" t="s">
        <v>268</v>
      </c>
      <c r="D82" s="8" t="s">
        <v>188</v>
      </c>
      <c r="E82" s="72" t="s">
        <v>344</v>
      </c>
      <c r="F82" s="49" t="n">
        <v>7</v>
      </c>
    </row>
    <row r="83" customFormat="false" ht="18" hidden="false" customHeight="true" outlineLevel="0" collapsed="false">
      <c r="A83" s="74" t="s">
        <v>342</v>
      </c>
      <c r="B83" s="36" t="s">
        <v>343</v>
      </c>
      <c r="C83" s="74" t="s">
        <v>269</v>
      </c>
      <c r="D83" s="6" t="s">
        <v>185</v>
      </c>
      <c r="E83" s="74" t="s">
        <v>344</v>
      </c>
      <c r="F83" s="44" t="n">
        <v>88</v>
      </c>
    </row>
    <row r="84" customFormat="false" ht="18" hidden="false" customHeight="true" outlineLevel="0" collapsed="false">
      <c r="A84" s="72" t="s">
        <v>345</v>
      </c>
      <c r="B84" s="37" t="s">
        <v>230</v>
      </c>
      <c r="C84" s="72" t="s">
        <v>269</v>
      </c>
      <c r="D84" s="8" t="s">
        <v>185</v>
      </c>
      <c r="E84" s="72" t="s">
        <v>344</v>
      </c>
      <c r="F84" s="49" t="n">
        <v>14</v>
      </c>
    </row>
    <row r="85" customFormat="false" ht="18" hidden="false" customHeight="true" outlineLevel="0" collapsed="false">
      <c r="A85" s="74" t="s">
        <v>346</v>
      </c>
      <c r="B85" s="6" t="s">
        <v>347</v>
      </c>
      <c r="C85" s="74" t="s">
        <v>269</v>
      </c>
      <c r="D85" s="6" t="s">
        <v>185</v>
      </c>
      <c r="E85" s="74" t="s">
        <v>344</v>
      </c>
      <c r="F85" s="44" t="n">
        <v>7</v>
      </c>
    </row>
    <row r="86" customFormat="false" ht="18" hidden="false" customHeight="true" outlineLevel="0" collapsed="false">
      <c r="A86" s="72" t="s">
        <v>348</v>
      </c>
      <c r="B86" s="8" t="s">
        <v>349</v>
      </c>
      <c r="C86" s="72" t="s">
        <v>269</v>
      </c>
      <c r="D86" s="8" t="s">
        <v>185</v>
      </c>
      <c r="E86" s="72" t="s">
        <v>344</v>
      </c>
      <c r="F86" s="49" t="n">
        <v>5</v>
      </c>
    </row>
    <row r="87" customFormat="false" ht="18" hidden="false" customHeight="true" outlineLevel="0" collapsed="false">
      <c r="A87" s="74" t="s">
        <v>342</v>
      </c>
      <c r="B87" s="36" t="s">
        <v>343</v>
      </c>
      <c r="C87" s="74" t="s">
        <v>270</v>
      </c>
      <c r="D87" s="6" t="s">
        <v>207</v>
      </c>
      <c r="E87" s="74" t="s">
        <v>344</v>
      </c>
      <c r="F87" s="44" t="n">
        <v>240</v>
      </c>
    </row>
    <row r="88" customFormat="false" ht="18" hidden="false" customHeight="true" outlineLevel="0" collapsed="false">
      <c r="A88" s="72" t="s">
        <v>345</v>
      </c>
      <c r="B88" s="37" t="s">
        <v>230</v>
      </c>
      <c r="C88" s="72" t="s">
        <v>270</v>
      </c>
      <c r="D88" s="8" t="s">
        <v>207</v>
      </c>
      <c r="E88" s="72" t="s">
        <v>344</v>
      </c>
      <c r="F88" s="49" t="n">
        <v>30</v>
      </c>
    </row>
    <row r="89" customFormat="false" ht="18" hidden="false" customHeight="true" outlineLevel="0" collapsed="false">
      <c r="A89" s="74" t="s">
        <v>346</v>
      </c>
      <c r="B89" s="6" t="s">
        <v>347</v>
      </c>
      <c r="C89" s="74" t="s">
        <v>270</v>
      </c>
      <c r="D89" s="6" t="s">
        <v>207</v>
      </c>
      <c r="E89" s="74" t="s">
        <v>344</v>
      </c>
      <c r="F89" s="44" t="n">
        <v>15</v>
      </c>
    </row>
    <row r="90" customFormat="false" ht="18" hidden="false" customHeight="true" outlineLevel="0" collapsed="false">
      <c r="A90" s="72" t="s">
        <v>348</v>
      </c>
      <c r="B90" s="8" t="s">
        <v>349</v>
      </c>
      <c r="C90" s="72" t="s">
        <v>270</v>
      </c>
      <c r="D90" s="8" t="s">
        <v>207</v>
      </c>
      <c r="E90" s="72" t="s">
        <v>344</v>
      </c>
      <c r="F90" s="49" t="n">
        <v>10</v>
      </c>
    </row>
    <row r="91" customFormat="false" ht="18" hidden="false" customHeight="true" outlineLevel="0" collapsed="false">
      <c r="A91" s="74" t="s">
        <v>342</v>
      </c>
      <c r="B91" s="36" t="s">
        <v>343</v>
      </c>
      <c r="C91" s="74" t="s">
        <v>272</v>
      </c>
      <c r="D91" s="6" t="s">
        <v>140</v>
      </c>
      <c r="E91" s="74" t="s">
        <v>344</v>
      </c>
      <c r="F91" s="44" t="n">
        <v>12</v>
      </c>
    </row>
    <row r="92" customFormat="false" ht="18" hidden="false" customHeight="true" outlineLevel="0" collapsed="false">
      <c r="A92" s="72" t="s">
        <v>345</v>
      </c>
      <c r="B92" s="37" t="s">
        <v>230</v>
      </c>
      <c r="C92" s="72" t="s">
        <v>272</v>
      </c>
      <c r="D92" s="8" t="s">
        <v>140</v>
      </c>
      <c r="E92" s="72" t="s">
        <v>344</v>
      </c>
      <c r="F92" s="49" t="n">
        <v>2</v>
      </c>
    </row>
    <row r="93" customFormat="false" ht="18" hidden="false" customHeight="true" outlineLevel="0" collapsed="false">
      <c r="A93" s="74" t="s">
        <v>348</v>
      </c>
      <c r="B93" s="6" t="s">
        <v>349</v>
      </c>
      <c r="C93" s="74" t="s">
        <v>272</v>
      </c>
      <c r="D93" s="6" t="s">
        <v>140</v>
      </c>
      <c r="E93" s="74" t="s">
        <v>344</v>
      </c>
      <c r="F93" s="44" t="n">
        <v>1</v>
      </c>
    </row>
    <row r="94" customFormat="false" ht="18" hidden="false" customHeight="true" outlineLevel="0" collapsed="false">
      <c r="A94" s="72" t="s">
        <v>342</v>
      </c>
      <c r="B94" s="37" t="s">
        <v>343</v>
      </c>
      <c r="C94" s="72" t="s">
        <v>273</v>
      </c>
      <c r="D94" s="8" t="s">
        <v>209</v>
      </c>
      <c r="E94" s="72" t="s">
        <v>344</v>
      </c>
      <c r="F94" s="49" t="n">
        <v>175</v>
      </c>
    </row>
    <row r="95" customFormat="false" ht="18" hidden="false" customHeight="true" outlineLevel="0" collapsed="false">
      <c r="A95" s="74" t="s">
        <v>345</v>
      </c>
      <c r="B95" s="36" t="s">
        <v>230</v>
      </c>
      <c r="C95" s="74" t="s">
        <v>273</v>
      </c>
      <c r="D95" s="6" t="s">
        <v>209</v>
      </c>
      <c r="E95" s="74" t="s">
        <v>344</v>
      </c>
      <c r="F95" s="44" t="n">
        <v>25</v>
      </c>
    </row>
    <row r="96" customFormat="false" ht="18" hidden="false" customHeight="true" outlineLevel="0" collapsed="false">
      <c r="A96" s="72" t="s">
        <v>346</v>
      </c>
      <c r="B96" s="8" t="s">
        <v>347</v>
      </c>
      <c r="C96" s="72" t="s">
        <v>273</v>
      </c>
      <c r="D96" s="8" t="s">
        <v>209</v>
      </c>
      <c r="E96" s="72" t="s">
        <v>344</v>
      </c>
      <c r="F96" s="49" t="n">
        <v>12</v>
      </c>
    </row>
    <row r="97" customFormat="false" ht="18" hidden="false" customHeight="true" outlineLevel="0" collapsed="false">
      <c r="A97" s="74" t="s">
        <v>348</v>
      </c>
      <c r="B97" s="6" t="s">
        <v>349</v>
      </c>
      <c r="C97" s="74" t="s">
        <v>273</v>
      </c>
      <c r="D97" s="6" t="s">
        <v>209</v>
      </c>
      <c r="E97" s="74" t="s">
        <v>344</v>
      </c>
      <c r="F97" s="44" t="n">
        <v>8</v>
      </c>
    </row>
    <row r="98" customFormat="false" ht="18" hidden="false" customHeight="true" outlineLevel="0" collapsed="false">
      <c r="A98" s="72" t="s">
        <v>342</v>
      </c>
      <c r="B98" s="37" t="s">
        <v>343</v>
      </c>
      <c r="C98" s="72" t="s">
        <v>276</v>
      </c>
      <c r="D98" s="8" t="s">
        <v>124</v>
      </c>
      <c r="E98" s="72" t="s">
        <v>344</v>
      </c>
      <c r="F98" s="49" t="n">
        <v>-2</v>
      </c>
    </row>
  </sheetData>
  <mergeCells count="3">
    <mergeCell ref="A1:F1"/>
    <mergeCell ref="A2:C2"/>
    <mergeCell ref="D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CCCCC"/>
    <pageSetUpPr fitToPage="false"/>
  </sheetPr>
  <dimension ref="A1:K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29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20"/>
    <col collapsed="false" customWidth="true" hidden="false" outlineLevel="0" max="11" min="11" style="0" width="10"/>
  </cols>
  <sheetData>
    <row r="1" customFormat="false" ht="22.5" hidden="false" customHeight="true" outlineLevel="0" collapsed="false">
      <c r="A1" s="1" t="s">
        <v>350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59" t="s">
        <v>351</v>
      </c>
      <c r="B2" s="59"/>
      <c r="C2" s="59"/>
      <c r="D2" s="59"/>
      <c r="E2" s="59"/>
      <c r="F2" s="60" t="s">
        <v>290</v>
      </c>
      <c r="G2" s="60"/>
      <c r="H2" s="60"/>
      <c r="I2" s="60"/>
      <c r="J2" s="60"/>
      <c r="K2" s="60"/>
    </row>
    <row r="3" customFormat="false" ht="25.5" hidden="false" customHeight="true" outlineLevel="0" collapsed="false">
      <c r="A3" s="9" t="s">
        <v>115</v>
      </c>
      <c r="B3" s="9" t="s">
        <v>227</v>
      </c>
      <c r="C3" s="9" t="s">
        <v>352</v>
      </c>
      <c r="D3" s="9" t="s">
        <v>353</v>
      </c>
      <c r="E3" s="9" t="s">
        <v>354</v>
      </c>
      <c r="F3" s="9" t="s">
        <v>355</v>
      </c>
      <c r="G3" s="9" t="s">
        <v>356</v>
      </c>
      <c r="H3" s="9" t="s">
        <v>357</v>
      </c>
      <c r="I3" s="9" t="s">
        <v>358</v>
      </c>
      <c r="J3" s="9" t="s">
        <v>340</v>
      </c>
      <c r="K3" s="9" t="s">
        <v>35</v>
      </c>
    </row>
    <row r="4" customFormat="false" ht="18" hidden="false" customHeight="true" outlineLevel="0" collapsed="false">
      <c r="A4" s="37" t="s">
        <v>136</v>
      </c>
      <c r="B4" s="72" t="s">
        <v>237</v>
      </c>
      <c r="C4" s="8" t="s">
        <v>153</v>
      </c>
      <c r="D4" s="49" t="n">
        <v>2</v>
      </c>
      <c r="E4" s="51" t="n">
        <v>18000</v>
      </c>
      <c r="F4" s="51" t="n">
        <f aca="false">D4*E4</f>
        <v>36000</v>
      </c>
      <c r="G4" s="51" t="n">
        <f aca="false">ROUND(F4*0.1,0)</f>
        <v>3600</v>
      </c>
      <c r="H4" s="51" t="n">
        <f aca="false">F4+G4</f>
        <v>39600</v>
      </c>
      <c r="I4" s="37" t="s">
        <v>359</v>
      </c>
      <c r="J4" s="37" t="s">
        <v>343</v>
      </c>
      <c r="K4" s="48" t="s">
        <v>360</v>
      </c>
    </row>
    <row r="5" customFormat="false" ht="18" hidden="false" customHeight="true" outlineLevel="0" collapsed="false">
      <c r="A5" s="36" t="s">
        <v>136</v>
      </c>
      <c r="B5" s="74" t="s">
        <v>238</v>
      </c>
      <c r="C5" s="6" t="s">
        <v>163</v>
      </c>
      <c r="D5" s="44" t="n">
        <v>2</v>
      </c>
      <c r="E5" s="46" t="n">
        <v>18000</v>
      </c>
      <c r="F5" s="46" t="n">
        <f aca="false">D5*E5</f>
        <v>36000</v>
      </c>
      <c r="G5" s="46" t="n">
        <f aca="false">ROUND(F5*0.1,0)</f>
        <v>3600</v>
      </c>
      <c r="H5" s="46" t="n">
        <f aca="false">F5+G5</f>
        <v>39600</v>
      </c>
      <c r="I5" s="36" t="s">
        <v>359</v>
      </c>
      <c r="J5" s="36" t="s">
        <v>230</v>
      </c>
      <c r="K5" s="43" t="s">
        <v>361</v>
      </c>
    </row>
    <row r="6" customFormat="false" ht="18" hidden="false" customHeight="true" outlineLevel="0" collapsed="false">
      <c r="A6" s="37" t="s">
        <v>136</v>
      </c>
      <c r="B6" s="72" t="s">
        <v>239</v>
      </c>
      <c r="C6" s="8" t="s">
        <v>200</v>
      </c>
      <c r="D6" s="49" t="n">
        <v>1</v>
      </c>
      <c r="E6" s="51" t="n">
        <v>18000</v>
      </c>
      <c r="F6" s="51" t="n">
        <f aca="false">D6*E6</f>
        <v>18000</v>
      </c>
      <c r="G6" s="51" t="n">
        <f aca="false">ROUND(F6*0.1,0)</f>
        <v>1800</v>
      </c>
      <c r="H6" s="51" t="n">
        <f aca="false">F6+G6</f>
        <v>19800</v>
      </c>
      <c r="I6" s="37" t="s">
        <v>359</v>
      </c>
      <c r="J6" s="8" t="s">
        <v>347</v>
      </c>
      <c r="K6" s="48" t="s">
        <v>362</v>
      </c>
    </row>
    <row r="7" customFormat="false" ht="18" hidden="false" customHeight="true" outlineLevel="0" collapsed="false">
      <c r="A7" s="36" t="s">
        <v>136</v>
      </c>
      <c r="B7" s="74" t="s">
        <v>241</v>
      </c>
      <c r="C7" s="6" t="s">
        <v>202</v>
      </c>
      <c r="D7" s="44" t="n">
        <v>2</v>
      </c>
      <c r="E7" s="46" t="n">
        <v>18000</v>
      </c>
      <c r="F7" s="46" t="n">
        <f aca="false">D7*E7</f>
        <v>36000</v>
      </c>
      <c r="G7" s="46" t="n">
        <f aca="false">ROUND(F7*0.1,0)</f>
        <v>3600</v>
      </c>
      <c r="H7" s="46" t="n">
        <f aca="false">F7+G7</f>
        <v>39600</v>
      </c>
      <c r="I7" s="36" t="s">
        <v>359</v>
      </c>
      <c r="J7" s="6" t="s">
        <v>349</v>
      </c>
      <c r="K7" s="43" t="s">
        <v>363</v>
      </c>
    </row>
    <row r="8" customFormat="false" ht="18" hidden="false" customHeight="true" outlineLevel="0" collapsed="false">
      <c r="A8" s="37" t="s">
        <v>144</v>
      </c>
      <c r="B8" s="72" t="s">
        <v>244</v>
      </c>
      <c r="C8" s="8" t="s">
        <v>245</v>
      </c>
      <c r="D8" s="49" t="n">
        <v>1</v>
      </c>
      <c r="E8" s="51" t="n">
        <v>15000</v>
      </c>
      <c r="F8" s="51" t="n">
        <f aca="false">D8*E8</f>
        <v>15000</v>
      </c>
      <c r="G8" s="51" t="n">
        <f aca="false">ROUND(F8*0.1,0)</f>
        <v>1500</v>
      </c>
      <c r="H8" s="51" t="n">
        <f aca="false">F8+G8</f>
        <v>16500</v>
      </c>
      <c r="I8" s="37" t="s">
        <v>359</v>
      </c>
      <c r="J8" s="37" t="s">
        <v>343</v>
      </c>
      <c r="K8" s="48" t="s">
        <v>360</v>
      </c>
    </row>
    <row r="9" customFormat="false" ht="18" hidden="false" customHeight="true" outlineLevel="0" collapsed="false">
      <c r="A9" s="36" t="s">
        <v>144</v>
      </c>
      <c r="B9" s="74" t="s">
        <v>246</v>
      </c>
      <c r="C9" s="6" t="s">
        <v>145</v>
      </c>
      <c r="D9" s="44" t="n">
        <v>1</v>
      </c>
      <c r="E9" s="46" t="n">
        <v>15000</v>
      </c>
      <c r="F9" s="46" t="n">
        <f aca="false">D9*E9</f>
        <v>15000</v>
      </c>
      <c r="G9" s="46" t="n">
        <f aca="false">ROUND(F9*0.1,0)</f>
        <v>1500</v>
      </c>
      <c r="H9" s="46" t="n">
        <f aca="false">F9+G9</f>
        <v>16500</v>
      </c>
      <c r="I9" s="36" t="s">
        <v>359</v>
      </c>
      <c r="J9" s="36" t="s">
        <v>230</v>
      </c>
      <c r="K9" s="43" t="s">
        <v>361</v>
      </c>
    </row>
    <row r="10" customFormat="false" ht="18" hidden="false" customHeight="true" outlineLevel="0" collapsed="false">
      <c r="A10" s="37" t="s">
        <v>144</v>
      </c>
      <c r="B10" s="72" t="s">
        <v>247</v>
      </c>
      <c r="C10" s="8" t="s">
        <v>203</v>
      </c>
      <c r="D10" s="49" t="n">
        <v>1</v>
      </c>
      <c r="E10" s="51" t="n">
        <v>15000</v>
      </c>
      <c r="F10" s="51" t="n">
        <f aca="false">D10*E10</f>
        <v>15000</v>
      </c>
      <c r="G10" s="51" t="n">
        <f aca="false">ROUND(F10*0.1,0)</f>
        <v>1500</v>
      </c>
      <c r="H10" s="51" t="n">
        <f aca="false">F10+G10</f>
        <v>16500</v>
      </c>
      <c r="I10" s="37" t="s">
        <v>359</v>
      </c>
      <c r="J10" s="8" t="s">
        <v>347</v>
      </c>
      <c r="K10" s="48" t="s">
        <v>362</v>
      </c>
    </row>
    <row r="11" customFormat="false" ht="18" hidden="false" customHeight="true" outlineLevel="0" collapsed="false">
      <c r="A11" s="36" t="s">
        <v>136</v>
      </c>
      <c r="B11" s="74" t="s">
        <v>248</v>
      </c>
      <c r="C11" s="6" t="s">
        <v>137</v>
      </c>
      <c r="D11" s="44" t="n">
        <v>1</v>
      </c>
      <c r="E11" s="46" t="n">
        <v>18000</v>
      </c>
      <c r="F11" s="46" t="n">
        <f aca="false">D11*E11</f>
        <v>18000</v>
      </c>
      <c r="G11" s="46" t="n">
        <f aca="false">ROUND(F11*0.1,0)</f>
        <v>1800</v>
      </c>
      <c r="H11" s="46" t="n">
        <f aca="false">F11+G11</f>
        <v>19800</v>
      </c>
      <c r="I11" s="36" t="s">
        <v>359</v>
      </c>
      <c r="J11" s="6" t="s">
        <v>349</v>
      </c>
      <c r="K11" s="43" t="s">
        <v>363</v>
      </c>
    </row>
    <row r="12" customFormat="false" ht="18" hidden="false" customHeight="true" outlineLevel="0" collapsed="false">
      <c r="A12" s="37" t="s">
        <v>150</v>
      </c>
      <c r="B12" s="72" t="s">
        <v>252</v>
      </c>
      <c r="C12" s="8" t="s">
        <v>151</v>
      </c>
      <c r="D12" s="49" t="n">
        <v>3</v>
      </c>
      <c r="E12" s="51" t="n">
        <v>26000</v>
      </c>
      <c r="F12" s="51" t="n">
        <f aca="false">D12*E12</f>
        <v>78000</v>
      </c>
      <c r="G12" s="51" t="n">
        <f aca="false">ROUND(F12*0.1,0)</f>
        <v>7800</v>
      </c>
      <c r="H12" s="51" t="n">
        <f aca="false">F12+G12</f>
        <v>85800</v>
      </c>
      <c r="I12" s="37" t="s">
        <v>359</v>
      </c>
      <c r="J12" s="37" t="s">
        <v>343</v>
      </c>
      <c r="K12" s="48" t="s">
        <v>360</v>
      </c>
    </row>
    <row r="13" customFormat="false" ht="18" hidden="false" customHeight="true" outlineLevel="0" collapsed="false">
      <c r="A13" s="36" t="s">
        <v>150</v>
      </c>
      <c r="B13" s="74" t="s">
        <v>253</v>
      </c>
      <c r="C13" s="6" t="s">
        <v>161</v>
      </c>
      <c r="D13" s="44" t="n">
        <v>3</v>
      </c>
      <c r="E13" s="46" t="n">
        <v>26000</v>
      </c>
      <c r="F13" s="46" t="n">
        <f aca="false">D13*E13</f>
        <v>78000</v>
      </c>
      <c r="G13" s="46" t="n">
        <f aca="false">ROUND(F13*0.1,0)</f>
        <v>7800</v>
      </c>
      <c r="H13" s="46" t="n">
        <f aca="false">F13+G13</f>
        <v>85800</v>
      </c>
      <c r="I13" s="36" t="s">
        <v>359</v>
      </c>
      <c r="J13" s="36" t="s">
        <v>230</v>
      </c>
      <c r="K13" s="43" t="s">
        <v>361</v>
      </c>
    </row>
    <row r="14" customFormat="false" ht="18" hidden="false" customHeight="true" outlineLevel="0" collapsed="false">
      <c r="A14" s="37" t="s">
        <v>197</v>
      </c>
      <c r="B14" s="72" t="s">
        <v>254</v>
      </c>
      <c r="C14" s="8" t="s">
        <v>255</v>
      </c>
      <c r="D14" s="49" t="n">
        <v>2</v>
      </c>
      <c r="E14" s="51" t="n">
        <v>26000</v>
      </c>
      <c r="F14" s="51" t="n">
        <f aca="false">D14*E14</f>
        <v>52000</v>
      </c>
      <c r="G14" s="51" t="n">
        <f aca="false">ROUND(F14*0.1,0)</f>
        <v>5200</v>
      </c>
      <c r="H14" s="51" t="n">
        <f aca="false">F14+G14</f>
        <v>57200</v>
      </c>
      <c r="I14" s="37" t="s">
        <v>359</v>
      </c>
      <c r="J14" s="8" t="s">
        <v>347</v>
      </c>
      <c r="K14" s="48" t="s">
        <v>362</v>
      </c>
    </row>
    <row r="15" customFormat="false" ht="18" hidden="false" customHeight="true" outlineLevel="0" collapsed="false">
      <c r="A15" s="36" t="s">
        <v>197</v>
      </c>
      <c r="B15" s="74" t="s">
        <v>256</v>
      </c>
      <c r="C15" s="6" t="s">
        <v>198</v>
      </c>
      <c r="D15" s="44" t="n">
        <v>1</v>
      </c>
      <c r="E15" s="46" t="n">
        <v>26000</v>
      </c>
      <c r="F15" s="46" t="n">
        <f aca="false">D15*E15</f>
        <v>26000</v>
      </c>
      <c r="G15" s="46" t="n">
        <f aca="false">ROUND(F15*0.1,0)</f>
        <v>2600</v>
      </c>
      <c r="H15" s="46" t="n">
        <f aca="false">F15+G15</f>
        <v>28600</v>
      </c>
      <c r="I15" s="36" t="s">
        <v>359</v>
      </c>
      <c r="J15" s="6" t="s">
        <v>349</v>
      </c>
      <c r="K15" s="43" t="s">
        <v>363</v>
      </c>
    </row>
    <row r="16" customFormat="false" ht="18" hidden="false" customHeight="true" outlineLevel="0" collapsed="false">
      <c r="A16" s="37" t="s">
        <v>147</v>
      </c>
      <c r="B16" s="72" t="s">
        <v>258</v>
      </c>
      <c r="C16" s="8" t="s">
        <v>148</v>
      </c>
      <c r="D16" s="49" t="n">
        <v>4</v>
      </c>
      <c r="E16" s="51" t="n">
        <v>26000</v>
      </c>
      <c r="F16" s="51" t="n">
        <f aca="false">D16*E16</f>
        <v>104000</v>
      </c>
      <c r="G16" s="51" t="n">
        <f aca="false">ROUND(F16*0.1,0)</f>
        <v>10400</v>
      </c>
      <c r="H16" s="51" t="n">
        <f aca="false">F16+G16</f>
        <v>114400</v>
      </c>
      <c r="I16" s="37" t="s">
        <v>359</v>
      </c>
      <c r="J16" s="37" t="s">
        <v>343</v>
      </c>
      <c r="K16" s="48" t="s">
        <v>360</v>
      </c>
    </row>
    <row r="17" customFormat="false" ht="18" hidden="false" customHeight="true" outlineLevel="0" collapsed="false">
      <c r="A17" s="36" t="s">
        <v>147</v>
      </c>
      <c r="B17" s="74" t="s">
        <v>259</v>
      </c>
      <c r="C17" s="6" t="s">
        <v>193</v>
      </c>
      <c r="D17" s="44" t="n">
        <v>2</v>
      </c>
      <c r="E17" s="46" t="n">
        <v>26000</v>
      </c>
      <c r="F17" s="46" t="n">
        <f aca="false">D17*E17</f>
        <v>52000</v>
      </c>
      <c r="G17" s="46" t="n">
        <f aca="false">ROUND(F17*0.1,0)</f>
        <v>5200</v>
      </c>
      <c r="H17" s="46" t="n">
        <f aca="false">F17+G17</f>
        <v>57200</v>
      </c>
      <c r="I17" s="36" t="s">
        <v>359</v>
      </c>
      <c r="J17" s="36" t="s">
        <v>230</v>
      </c>
      <c r="K17" s="43" t="s">
        <v>361</v>
      </c>
    </row>
    <row r="18" customFormat="false" ht="18" hidden="false" customHeight="true" outlineLevel="0" collapsed="false">
      <c r="A18" s="37" t="s">
        <v>131</v>
      </c>
      <c r="B18" s="72" t="s">
        <v>260</v>
      </c>
      <c r="C18" s="8" t="s">
        <v>132</v>
      </c>
      <c r="D18" s="49" t="n">
        <v>1</v>
      </c>
      <c r="E18" s="51" t="n">
        <v>26000</v>
      </c>
      <c r="F18" s="51" t="n">
        <f aca="false">D18*E18</f>
        <v>26000</v>
      </c>
      <c r="G18" s="51" t="n">
        <f aca="false">ROUND(F18*0.1,0)</f>
        <v>2600</v>
      </c>
      <c r="H18" s="51" t="n">
        <f aca="false">F18+G18</f>
        <v>28600</v>
      </c>
      <c r="I18" s="37" t="s">
        <v>359</v>
      </c>
      <c r="J18" s="8" t="s">
        <v>347</v>
      </c>
      <c r="K18" s="48" t="s">
        <v>362</v>
      </c>
    </row>
    <row r="19" customFormat="false" ht="18" hidden="false" customHeight="true" outlineLevel="0" collapsed="false">
      <c r="A19" s="36" t="s">
        <v>189</v>
      </c>
      <c r="B19" s="74" t="s">
        <v>261</v>
      </c>
      <c r="C19" s="6" t="s">
        <v>190</v>
      </c>
      <c r="D19" s="44" t="n">
        <v>2</v>
      </c>
      <c r="E19" s="46" t="n">
        <v>26000</v>
      </c>
      <c r="F19" s="46" t="n">
        <f aca="false">D19*E19</f>
        <v>52000</v>
      </c>
      <c r="G19" s="46" t="n">
        <f aca="false">ROUND(F19*0.1,0)</f>
        <v>5200</v>
      </c>
      <c r="H19" s="46" t="n">
        <f aca="false">F19+G19</f>
        <v>57200</v>
      </c>
      <c r="I19" s="36" t="s">
        <v>359</v>
      </c>
      <c r="J19" s="6" t="s">
        <v>349</v>
      </c>
      <c r="K19" s="43" t="s">
        <v>363</v>
      </c>
    </row>
    <row r="20" customFormat="false" ht="18" hidden="false" customHeight="true" outlineLevel="0" collapsed="false">
      <c r="A20" s="37" t="s">
        <v>189</v>
      </c>
      <c r="B20" s="72" t="s">
        <v>262</v>
      </c>
      <c r="C20" s="8" t="s">
        <v>205</v>
      </c>
      <c r="D20" s="49" t="n">
        <v>1</v>
      </c>
      <c r="E20" s="51" t="n">
        <v>26000</v>
      </c>
      <c r="F20" s="51" t="n">
        <f aca="false">D20*E20</f>
        <v>26000</v>
      </c>
      <c r="G20" s="51" t="n">
        <f aca="false">ROUND(F20*0.1,0)</f>
        <v>2600</v>
      </c>
      <c r="H20" s="51" t="n">
        <f aca="false">F20+G20</f>
        <v>28600</v>
      </c>
      <c r="I20" s="37" t="s">
        <v>359</v>
      </c>
      <c r="J20" s="37" t="s">
        <v>343</v>
      </c>
      <c r="K20" s="48" t="s">
        <v>360</v>
      </c>
    </row>
    <row r="21" customFormat="false" ht="18" hidden="false" customHeight="true" outlineLevel="0" collapsed="false">
      <c r="A21" s="6" t="s">
        <v>142</v>
      </c>
      <c r="B21" s="74" t="s">
        <v>266</v>
      </c>
      <c r="C21" s="6" t="s">
        <v>158</v>
      </c>
      <c r="D21" s="44" t="n">
        <v>5</v>
      </c>
      <c r="E21" s="46" t="n">
        <v>4500</v>
      </c>
      <c r="F21" s="46" t="n">
        <f aca="false">D21*E21</f>
        <v>22500</v>
      </c>
      <c r="G21" s="46" t="n">
        <f aca="false">ROUND(F21*0.1,0)</f>
        <v>2250</v>
      </c>
      <c r="H21" s="46" t="n">
        <f aca="false">F21+G21</f>
        <v>24750</v>
      </c>
      <c r="I21" s="36" t="s">
        <v>359</v>
      </c>
      <c r="J21" s="36" t="s">
        <v>230</v>
      </c>
      <c r="K21" s="43" t="s">
        <v>361</v>
      </c>
    </row>
    <row r="22" customFormat="false" ht="18" hidden="false" customHeight="true" outlineLevel="0" collapsed="false">
      <c r="A22" s="8" t="s">
        <v>142</v>
      </c>
      <c r="B22" s="72" t="s">
        <v>267</v>
      </c>
      <c r="C22" s="8" t="s">
        <v>143</v>
      </c>
      <c r="D22" s="49" t="n">
        <v>6</v>
      </c>
      <c r="E22" s="51" t="n">
        <v>4500</v>
      </c>
      <c r="F22" s="51" t="n">
        <f aca="false">D22*E22</f>
        <v>27000</v>
      </c>
      <c r="G22" s="51" t="n">
        <f aca="false">ROUND(F22*0.1,0)</f>
        <v>2700</v>
      </c>
      <c r="H22" s="51" t="n">
        <f aca="false">F22+G22</f>
        <v>29700</v>
      </c>
      <c r="I22" s="37" t="s">
        <v>359</v>
      </c>
      <c r="J22" s="8" t="s">
        <v>347</v>
      </c>
      <c r="K22" s="48" t="s">
        <v>362</v>
      </c>
    </row>
    <row r="23" customFormat="false" ht="18" hidden="false" customHeight="true" outlineLevel="0" collapsed="false">
      <c r="A23" s="6" t="s">
        <v>187</v>
      </c>
      <c r="B23" s="74" t="s">
        <v>268</v>
      </c>
      <c r="C23" s="6" t="s">
        <v>188</v>
      </c>
      <c r="D23" s="44" t="n">
        <v>3</v>
      </c>
      <c r="E23" s="46" t="n">
        <v>4500</v>
      </c>
      <c r="F23" s="46" t="n">
        <f aca="false">D23*E23</f>
        <v>13500</v>
      </c>
      <c r="G23" s="46" t="n">
        <f aca="false">ROUND(F23*0.1,0)</f>
        <v>1350</v>
      </c>
      <c r="H23" s="46" t="n">
        <f aca="false">F23+G23</f>
        <v>14850</v>
      </c>
      <c r="I23" s="36" t="s">
        <v>359</v>
      </c>
      <c r="J23" s="6" t="s">
        <v>349</v>
      </c>
      <c r="K23" s="43" t="s">
        <v>363</v>
      </c>
    </row>
    <row r="24" customFormat="false" ht="18" hidden="false" customHeight="true" outlineLevel="0" collapsed="false">
      <c r="A24" s="8" t="s">
        <v>184</v>
      </c>
      <c r="B24" s="72" t="s">
        <v>269</v>
      </c>
      <c r="C24" s="8" t="s">
        <v>185</v>
      </c>
      <c r="D24" s="49" t="n">
        <v>4</v>
      </c>
      <c r="E24" s="51" t="n">
        <v>4500</v>
      </c>
      <c r="F24" s="51" t="n">
        <f aca="false">D24*E24</f>
        <v>18000</v>
      </c>
      <c r="G24" s="51" t="n">
        <f aca="false">ROUND(F24*0.1,0)</f>
        <v>1800</v>
      </c>
      <c r="H24" s="51" t="n">
        <f aca="false">F24+G24</f>
        <v>19800</v>
      </c>
      <c r="I24" s="37" t="s">
        <v>359</v>
      </c>
      <c r="J24" s="37" t="s">
        <v>343</v>
      </c>
      <c r="K24" s="48" t="s">
        <v>360</v>
      </c>
    </row>
    <row r="25" customFormat="false" ht="18" hidden="false" customHeight="true" outlineLevel="0" collapsed="false">
      <c r="A25" s="6" t="s">
        <v>123</v>
      </c>
      <c r="B25" s="74" t="s">
        <v>270</v>
      </c>
      <c r="C25" s="6" t="s">
        <v>207</v>
      </c>
      <c r="D25" s="44" t="n">
        <v>1</v>
      </c>
      <c r="E25" s="46" t="n">
        <v>4500</v>
      </c>
      <c r="F25" s="46" t="n">
        <f aca="false">D25*E25</f>
        <v>4500</v>
      </c>
      <c r="G25" s="46" t="n">
        <f aca="false">ROUND(F25*0.1,0)</f>
        <v>450</v>
      </c>
      <c r="H25" s="46" t="n">
        <f aca="false">F25+G25</f>
        <v>4950</v>
      </c>
      <c r="I25" s="36" t="s">
        <v>359</v>
      </c>
      <c r="J25" s="36" t="s">
        <v>230</v>
      </c>
      <c r="K25" s="43" t="s">
        <v>361</v>
      </c>
    </row>
  </sheetData>
  <mergeCells count="3">
    <mergeCell ref="A1:K1"/>
    <mergeCell ref="A2:E2"/>
    <mergeCell ref="F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2026-07-27T19:17:21Z</dcterms:created>
  <dc:creator>openpyxl</dc:creator>
  <dc:description/>
  <dc:language>en-US</dc:language>
  <cp:lastModifiedBy/>
  <dcterms:modified xsi:type="dcterms:W3CDTF">2026-07-27T19:17:22Z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